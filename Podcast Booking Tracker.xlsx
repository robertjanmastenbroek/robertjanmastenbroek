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odcast Outreach Log" sheetId="1" state="visible" r:id="rId3"/>
    <sheet name="📊 Stats" sheetId="2" state="visible" r:id="rId4"/>
    <sheet name="✉️ Pitch Templates" sheetId="3" state="visible" r:id="rId5"/>
    <sheet name="🔔 Follow-up Queue" sheetId="4" state="visible" r:id="rId6"/>
    <sheet name="📺 Livestreamer Outreach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<sst xmlns="http://schemas.openxmlformats.org/spreadsheetml/2006/main" count="6843" uniqueCount="3559">
  <si>
    <t xml:space="preserve">🎙 ROBERT-JAN MASTENBROEK — PODCAST BOOKING OUTREACH TRACKER</t>
  </si>
  <si>
    <t xml:space="preserve">Session 1 launched: 2026-04-03  |  Agent: Active  |  Goal: 20 pitched podcasts per session</t>
  </si>
  <si>
    <t xml:space="preserve">ID</t>
  </si>
  <si>
    <t xml:space="preserve">Show Name</t>
  </si>
  <si>
    <t xml:space="preserve">Host Name</t>
  </si>
  <si>
    <t xml:space="preserve">Category</t>
  </si>
  <si>
    <t xml:space="preserve">Est. Audience</t>
  </si>
  <si>
    <t xml:space="preserve">Last Episode</t>
  </si>
  <si>
    <t xml:space="preserve">Contact Email</t>
  </si>
  <si>
    <t xml:space="preserve">Contact Source</t>
  </si>
  <si>
    <t xml:space="preserve">MX Valid</t>
  </si>
  <si>
    <t xml:space="preserve">Date Pitched</t>
  </si>
  <si>
    <t xml:space="preserve">Subject Line Used</t>
  </si>
  <si>
    <t xml:space="preserve">Key Personalisation</t>
  </si>
  <si>
    <t xml:space="preserve">Status</t>
  </si>
  <si>
    <t xml:space="preserve">Notes / Flag</t>
  </si>
  <si>
    <t xml:space="preserve">Faith Driven Entrepreneur</t>
  </si>
  <si>
    <t xml:space="preserve">Henry Kaestner &amp; Justin Forman</t>
  </si>
  <si>
    <t xml:space="preserve">Faith &amp; Creativity</t>
  </si>
  <si>
    <t xml:space="preserve">500K+ downloads</t>
  </si>
  <si>
    <t xml:space="preserve">Active – weekly 2026</t>
  </si>
  <si>
    <t xml:space="preserve">podcast@faithdrivenentrepreneur.org</t>
  </si>
  <si>
    <t xml:space="preserve">Website</t>
  </si>
  <si>
    <t xml:space="preserve">YES</t>
  </si>
  <si>
    <t xml:space="preserve">2026-04-03</t>
  </si>
  <si>
    <t xml:space="preserve">A Dutch raver who found Jesus the hard way</t>
  </si>
  <si>
    <t xml:space="preserve">Ep 300 on 'The Entrepreneur's Greatest Need' — building as a form of idolatry</t>
  </si>
  <si>
    <t xml:space="preserve">Pitched</t>
  </si>
  <si>
    <t xml:space="preserve">300+ episodes, very established faith-business show</t>
  </si>
  <si>
    <t xml:space="preserve">The New Music Business (Ari's Take)</t>
  </si>
  <si>
    <t xml:space="preserve">Ari Herstand</t>
  </si>
  <si>
    <t xml:space="preserve">Music Business</t>
  </si>
  <si>
    <t xml:space="preserve">100K+ listeners</t>
  </si>
  <si>
    <t xml:space="preserve">Active – 2025/2026</t>
  </si>
  <si>
    <t xml:space="preserve">info@aristake.com</t>
  </si>
  <si>
    <t xml:space="preserve">Website contact page</t>
  </si>
  <si>
    <t xml:space="preserve">Dutch DJ who read his record deal and walked away — owns every master</t>
  </si>
  <si>
    <t xml:space="preserve">Episode on streaming economics and giving away masters you'll never get back</t>
  </si>
  <si>
    <t xml:space="preserve">Webby Award winner. Forbes calls him 'poster child of DIY music'</t>
  </si>
  <si>
    <t xml:space="preserve">Groeivoer voor Ondernemers</t>
  </si>
  <si>
    <t xml:space="preserve">Gerhard te Velde</t>
  </si>
  <si>
    <t xml:space="preserve">Dutch &amp; European Audience</t>
  </si>
  <si>
    <t xml:space="preserve">50K+ listeners NL/BE</t>
  </si>
  <si>
    <t xml:space="preserve">info@groeivoer.nl</t>
  </si>
  <si>
    <t xml:space="preserve">Gastidee voor de Groeivoer Podcast</t>
  </si>
  <si>
    <t xml:space="preserve">Aflevering over ondernemerschap en persoonlijk leiderschap — spanning die ondernemers kennen</t>
  </si>
  <si>
    <t xml:space="preserve">BNR Dutch Podcast Award winner. Write pitch in Dutch.</t>
  </si>
  <si>
    <t xml:space="preserve">Worlds Collide Podcast</t>
  </si>
  <si>
    <t xml:space="preserve">Unknown host</t>
  </si>
  <si>
    <t xml:space="preserve">Expatriate, Nomad &amp; Lifestyle</t>
  </si>
  <si>
    <t xml:space="preserve">Small-medium</t>
  </si>
  <si>
    <t xml:space="preserve">Active – 2025</t>
  </si>
  <si>
    <t xml:space="preserve">Worldscollide123pod@gmail.com</t>
  </si>
  <si>
    <t xml:space="preserve">Podcast directories</t>
  </si>
  <si>
    <t xml:space="preserve">YES (gmail)</t>
  </si>
  <si>
    <t xml:space="preserve">Dutch DJ living in Tenerife — rebuilt life from scratch on an island</t>
  </si>
  <si>
    <t xml:space="preserve">Show focuses on culture shock + real truth of expat life, not just the highlights</t>
  </si>
  <si>
    <t xml:space="preserve">Moving abroad interview show</t>
  </si>
  <si>
    <t xml:space="preserve">The Independent Artist Podcast</t>
  </si>
  <si>
    <t xml:space="preserve">Douglas Sigwarth &amp; Will Armstrong</t>
  </si>
  <si>
    <t xml:space="preserve">Independent Artist &amp; Music Career</t>
  </si>
  <si>
    <t xml:space="preserve">independentartistpodcast@gmail.com</t>
  </si>
  <si>
    <t xml:space="preserve">Podcast directories + website</t>
  </si>
  <si>
    <t xml:space="preserve">30+ tracks, owns every master, zero label — ever</t>
  </si>
  <si>
    <t xml:space="preserve">Show covers real economics of independent art career; what you give up vs what you keep</t>
  </si>
  <si>
    <t xml:space="preserve">Co-hosted by working artists</t>
  </si>
  <si>
    <t xml:space="preserve">Comeback Stories</t>
  </si>
  <si>
    <t xml:space="preserve">Darren Waller &amp; Donny Starkins</t>
  </si>
  <si>
    <t xml:space="preserve">Redemption, Resilience &amp; Comeback</t>
  </si>
  <si>
    <t xml:space="preserve">Medium-large</t>
  </si>
  <si>
    <t xml:space="preserve">charlotte.cooper@bluewirepods.com</t>
  </si>
  <si>
    <t xml:space="preserve">Blue Wire Productions press contact</t>
  </si>
  <si>
    <t xml:space="preserve">Lost everything at 30, rebuilt twice — a story that's almost too much to believe</t>
  </si>
  <si>
    <t xml:space="preserve">Show lets people tell the full truth about breaking down before the rebuild</t>
  </si>
  <si>
    <t xml:space="preserve">Produced by Blue Wire. Hosts are Darren Waller (NFL) + mindfulness coach</t>
  </si>
  <si>
    <t xml:space="preserve">The Will Clarke Podcast</t>
  </si>
  <si>
    <t xml:space="preserve">Will Clarke</t>
  </si>
  <si>
    <t xml:space="preserve">Electronic Music &amp; DJ Culture</t>
  </si>
  <si>
    <t xml:space="preserve">Medium – UK/EU DJ scene</t>
  </si>
  <si>
    <t xml:space="preserve">Active – weekly</t>
  </si>
  <si>
    <t xml:space="preserve">ryank@threesixzero.com</t>
  </si>
  <si>
    <t xml:space="preserve">Artist website contact page</t>
  </si>
  <si>
    <t xml:space="preserve">Independent psytrance producer making Bible-based melodic techno — 290K IG, no label</t>
  </si>
  <si>
    <t xml:space="preserve">Will's guest list includes Carl Cox, Chris Lake — interviewing across house/techno spectrum</t>
  </si>
  <si>
    <t xml:space="preserve">Grammy-nominated. 200+ eps. Well-respected in scene.</t>
  </si>
  <si>
    <t xml:space="preserve">Creative Juice by Indepreneur</t>
  </si>
  <si>
    <t xml:space="preserve">Jack Conte &amp; Circa</t>
  </si>
  <si>
    <t xml:space="preserve">Medium</t>
  </si>
  <si>
    <t xml:space="preserve">Via indepreneur.io/contact</t>
  </si>
  <si>
    <t xml:space="preserve">Website contact form</t>
  </si>
  <si>
    <t xml:space="preserve">N/A – contact form</t>
  </si>
  <si>
    <t xml:space="preserve">Dutch DJ releasing weekly AI-assisted music — owns every master, 30+ tracks, no label</t>
  </si>
  <si>
    <t xml:space="preserve">Show covers music marketing strategy for indie artists; AI workflow angle very relevant</t>
  </si>
  <si>
    <t xml:space="preserve">Pending Contact</t>
  </si>
  <si>
    <t xml:space="preserve">Use contact form at indepreneur.io — no direct email found</t>
  </si>
  <si>
    <t xml:space="preserve">Nomadtopia Radio</t>
  </si>
  <si>
    <t xml:space="preserve">Amy Scott</t>
  </si>
  <si>
    <t xml:space="preserve">Small-medium, nomad niche</t>
  </si>
  <si>
    <t xml:space="preserve">Active – 2024/2025</t>
  </si>
  <si>
    <t xml:space="preserve">Via nomadtopia.com/contact</t>
  </si>
  <si>
    <t xml:space="preserve">From camper van in Tenerife to 290K Instagram — what freedom actually looks like</t>
  </si>
  <si>
    <t xml:space="preserve">Show features location-independent entrepreneurs; RJ's camper van + busking arc fits perfectly</t>
  </si>
  <si>
    <t xml:space="preserve">16+ years of nomad content; very engaged niche audience</t>
  </si>
  <si>
    <t xml:space="preserve">Expat Experts</t>
  </si>
  <si>
    <t xml:space="preserve">Marc Alcobé</t>
  </si>
  <si>
    <t xml:space="preserve">Small, growing</t>
  </si>
  <si>
    <t xml:space="preserve">Via podmatch.com/hostdetailpreview/expatexperts</t>
  </si>
  <si>
    <t xml:space="preserve">PodMatch</t>
  </si>
  <si>
    <t xml:space="preserve">N/A – PodMatch</t>
  </si>
  <si>
    <t xml:space="preserve">Dutch DJ in south Tenerife — expat by necessity, stayed by choice</t>
  </si>
  <si>
    <t xml:space="preserve">Show features expats telling the truth about culture shock, community, and adaptation</t>
  </si>
  <si>
    <t xml:space="preserve">Submit via PodMatch</t>
  </si>
  <si>
    <t xml:space="preserve">The Expat Pod</t>
  </si>
  <si>
    <t xml:space="preserve">James Doran</t>
  </si>
  <si>
    <t xml:space="preserve">Via tallmantravels.co.uk/the-expat-pod</t>
  </si>
  <si>
    <t xml:space="preserve">Website contact</t>
  </si>
  <si>
    <t xml:space="preserve">Fled Holland with nothing, built a new life in Tenerife — the real expat story</t>
  </si>
  <si>
    <t xml:space="preserve">Show explores real stories of expat life; RJ's backstory (blackmail, media) is exceptional</t>
  </si>
  <si>
    <t xml:space="preserve">Psy-Nation Radio</t>
  </si>
  <si>
    <t xml:space="preserve">Liquid Soul &amp; Ace Ventura</t>
  </si>
  <si>
    <t xml:space="preserve">Large – psytrance scene global</t>
  </si>
  <si>
    <t xml:space="preserve">Active – monthly</t>
  </si>
  <si>
    <t xml:space="preserve">Via Syndicast (syndicast.co.uk)</t>
  </si>
  <si>
    <t xml:space="preserve">Distribution platform</t>
  </si>
  <si>
    <t xml:space="preserve">N/A</t>
  </si>
  <si>
    <t xml:space="preserve">Dutch producer making sacred psytrance — ancient Hebrew over 140 BPM</t>
  </si>
  <si>
    <t xml:space="preserve">Longest-running psytrance podcast; monthly interviews with scene artists</t>
  </si>
  <si>
    <t xml:space="preserve">Primarily a mix show — may need angle to land interview slot specifically</t>
  </si>
  <si>
    <t xml:space="preserve">Coast FM Tenerife</t>
  </si>
  <si>
    <t xml:space="preserve">Various presenters</t>
  </si>
  <si>
    <t xml:space="preserve">Canary Islands (Radio)</t>
  </si>
  <si>
    <t xml:space="preserve">Regional Tenerife</t>
  </si>
  <si>
    <t xml:space="preserve">Active – daily 2026</t>
  </si>
  <si>
    <t xml:space="preserve">studio@coast.fm</t>
  </si>
  <si>
    <t xml:space="preserve">Dutch DJ with a story you've never heard on Tenerife radio</t>
  </si>
  <si>
    <t xml:space="preserve">Local Tenerife show; RJ lives in south Tenerife</t>
  </si>
  <si>
    <t xml:space="preserve">English-language Tenerife radio station</t>
  </si>
  <si>
    <t xml:space="preserve">Spectrum FM Canarias</t>
  </si>
  <si>
    <t xml:space="preserve">Regional Canary Islands</t>
  </si>
  <si>
    <t xml:space="preserve">studio@spectrumfm.net</t>
  </si>
  <si>
    <t xml:space="preserve">Dutch DJ, Tenerife resident — a comeback story your listeners will remember</t>
  </si>
  <si>
    <t xml:space="preserve">English-language Canary Islands-wide broadcaster</t>
  </si>
  <si>
    <t xml:space="preserve">Covers all Canary Islands, English-language</t>
  </si>
  <si>
    <t xml:space="preserve">PowerON FM Lanzarote</t>
  </si>
  <si>
    <t xml:space="preserve">Regional Lanzarote</t>
  </si>
  <si>
    <t xml:space="preserve">studio@hitmusicnetwork.net</t>
  </si>
  <si>
    <t xml:space="preserve">Website / Hit Music Network</t>
  </si>
  <si>
    <t xml:space="preserve">Dutch musician living in Canary Islands — rebuilt everything from scratch</t>
  </si>
  <si>
    <t xml:space="preserve">Part of Hit Music Network; Lanzarote English-language radio</t>
  </si>
  <si>
    <t xml:space="preserve">Lanzarote English-language station</t>
  </si>
  <si>
    <t xml:space="preserve">AtlantisFM Lanzarote</t>
  </si>
  <si>
    <t xml:space="preserve">Regional Lanzarote/DE</t>
  </si>
  <si>
    <t xml:space="preserve">info@atlantisfm.de</t>
  </si>
  <si>
    <t xml:space="preserve">Dutch DJ im Kanarenexil — eine Geschichte über Absturz, Glaube und Neuanfang</t>
  </si>
  <si>
    <t xml:space="preserve">German-language Lanzarote station; pitched in German</t>
  </si>
  <si>
    <t xml:space="preserve">German-language Canary Islands station — pitch sent in German</t>
  </si>
  <si>
    <t xml:space="preserve">Expat Focus Podcast</t>
  </si>
  <si>
    <t xml:space="preserve">Unknown</t>
  </si>
  <si>
    <t xml:space="preserve">contact@expatfocus.com</t>
  </si>
  <si>
    <t xml:space="preserve">Dutch DJ living in Tenerife — the real story nobody tells about starting over abroad</t>
  </si>
  <si>
    <t xml:space="preserve">Large expat community platform with podcast arm</t>
  </si>
  <si>
    <t xml:space="preserve">Major expat platform; print + podcast</t>
  </si>
  <si>
    <t xml:space="preserve">Luca &amp; Ace</t>
  </si>
  <si>
    <t xml:space="preserve">Electronic Music &amp; DJ</t>
  </si>
  <si>
    <t xml:space="preserve">100K+ streams</t>
  </si>
  <si>
    <t xml:space="preserve">psynationradio@gmail.com</t>
  </si>
  <si>
    <t xml:space="preserve">Dutch psytrance producer with Hebrew lyrics drawn from scripture — not the guest you expect</t>
  </si>
  <si>
    <t xml:space="preserve">Dedicated psytrance/psybient radio show; very niche match</t>
  </si>
  <si>
    <t xml:space="preserve">Weekly psytrance show, 100K+ streams on Mixcloud</t>
  </si>
  <si>
    <t xml:space="preserve">The Thriving Christian Artist</t>
  </si>
  <si>
    <t xml:space="preserve">Matt Tommey</t>
  </si>
  <si>
    <t xml:space="preserve">support@matttommeymentoring.com</t>
  </si>
  <si>
    <t xml:space="preserve">Website / Matt Tommey Mentoring</t>
  </si>
  <si>
    <t xml:space="preserve">Former raver turned Bible-inspired composer — art as spiritual act</t>
  </si>
  <si>
    <t xml:space="preserve">Show explicitly about faith + creativity + flourishing as an artist</t>
  </si>
  <si>
    <t xml:space="preserve">Mentoring-focused faith &amp; creativity show</t>
  </si>
  <si>
    <t xml:space="preserve">Dirty Disco</t>
  </si>
  <si>
    <t xml:space="preserve">Jurgen Mastbooms</t>
  </si>
  <si>
    <t xml:space="preserve">50K+ listeners</t>
  </si>
  <si>
    <t xml:space="preserve">info@dirtydiscoradio.com</t>
  </si>
  <si>
    <t xml:space="preserve">Dutch DJ in Tenerife — 30+ originals, zero labels, built from scratch</t>
  </si>
  <si>
    <t xml:space="preserve">Dutch host; deep house/techno focus; RJ is Dutch DJ — cultural match</t>
  </si>
  <si>
    <t xml:space="preserve">Dutch host, electronic music weekly</t>
  </si>
  <si>
    <t xml:space="preserve">EDM Prod Podcast</t>
  </si>
  <si>
    <t xml:space="preserve">Sam Matla</t>
  </si>
  <si>
    <t xml:space="preserve">sam@edmprod.com</t>
  </si>
  <si>
    <t xml:space="preserve">Website / About page</t>
  </si>
  <si>
    <t xml:space="preserve">30 original tracks, owns every master, no labels — ever</t>
  </si>
  <si>
    <t xml:space="preserve">Show about electronic music production workflow; RJ uses AI in workflow</t>
  </si>
  <si>
    <t xml:space="preserve">Music production-focused show for EDM creators</t>
  </si>
  <si>
    <t xml:space="preserve">Meet the Expats</t>
  </si>
  <si>
    <t xml:space="preserve">meettheexpats@gmail.com</t>
  </si>
  <si>
    <t xml:space="preserve">Dutch DJ in Tenerife — rebuilt a life and a career on a volcanic island</t>
  </si>
  <si>
    <t xml:space="preserve">Interview show about real expat experiences</t>
  </si>
  <si>
    <t xml:space="preserve">Interview-style expat stories show</t>
  </si>
  <si>
    <t xml:space="preserve">Patrick Kicken Show</t>
  </si>
  <si>
    <t xml:space="preserve">Patrick Kicken</t>
  </si>
  <si>
    <t xml:space="preserve">100K+ NL listeners</t>
  </si>
  <si>
    <t xml:space="preserve">patrick@kicken.com</t>
  </si>
  <si>
    <t xml:space="preserve">Een Nederlander in Tenerife die alles verloor en het opnieuw opbouwde</t>
  </si>
  <si>
    <t xml:space="preserve">Major Dutch radio/podcast personality; Dutch-language pitch</t>
  </si>
  <si>
    <t xml:space="preserve">Well-known Dutch radio DJ; pitched in Dutch</t>
  </si>
  <si>
    <t xml:space="preserve">Psybient.org Podcast</t>
  </si>
  <si>
    <t xml:space="preserve">Various</t>
  </si>
  <si>
    <t xml:space="preserve">Niche/dedicated</t>
  </si>
  <si>
    <t xml:space="preserve">contact@psybient.org</t>
  </si>
  <si>
    <t xml:space="preserve">Bible-inspired psybient from Tenerife — when ambient meets ancient text</t>
  </si>
  <si>
    <t xml:space="preserve">Dedicated psybient community; RJ makes psytrance with Hebrew scripture lyrics</t>
  </si>
  <si>
    <t xml:space="preserve">Dedicated psybient/psychill community platform</t>
  </si>
  <si>
    <t xml:space="preserve">Creatively Christian</t>
  </si>
  <si>
    <t xml:space="preserve">Jake Doberenz</t>
  </si>
  <si>
    <t xml:space="preserve">jake.doberenz@theophanymedia.com</t>
  </si>
  <si>
    <t xml:space="preserve">Website / Theophany Media</t>
  </si>
  <si>
    <t xml:space="preserve">Former raver who found faith — making music that starts with a Bible verse</t>
  </si>
  <si>
    <t xml:space="preserve">Show explicitly for Christian creatives; RJ's music Bible-inspired</t>
  </si>
  <si>
    <t xml:space="preserve">Theophany Media production; faith + creative arts</t>
  </si>
  <si>
    <t xml:space="preserve">That Tenerife Podcast</t>
  </si>
  <si>
    <t xml:space="preserve">Canary Islands</t>
  </si>
  <si>
    <t xml:space="preserve">Local Tenerife</t>
  </si>
  <si>
    <t xml:space="preserve">Not found</t>
  </si>
  <si>
    <t xml:space="preserve">Dutch DJ living south Tenerife — real island life, not just beaches</t>
  </si>
  <si>
    <t xml:space="preserve">Local Tenerife podcast; RJ is a local resident</t>
  </si>
  <si>
    <t xml:space="preserve">Contact via social; no public email found</t>
  </si>
  <si>
    <t xml:space="preserve">The Comeback with Brenda Dennehy</t>
  </si>
  <si>
    <t xml:space="preserve">Brenda Dennehy</t>
  </si>
  <si>
    <t xml:space="preserve">Canary Islands / Resilience</t>
  </si>
  <si>
    <t xml:space="preserve">Lost everything at 30, rebuilt twice — the comeback nobody saw coming</t>
  </si>
  <si>
    <t xml:space="preserve">Tenerife-based resilience podcast; RJ's comeback story is strong fit</t>
  </si>
  <si>
    <t xml:space="preserve">Contact via social/website form</t>
  </si>
  <si>
    <t xml:space="preserve">When in Spain</t>
  </si>
  <si>
    <t xml:space="preserve">wheninspain1@outlook.com</t>
  </si>
  <si>
    <t xml:space="preserve">2026-04-04</t>
  </si>
  <si>
    <t xml:space="preserve">Dutch DJ in Tenerife — the move that changed everything</t>
  </si>
  <si>
    <t xml:space="preserve">Spain expat show; RJ lives in Tenerife (Spain)</t>
  </si>
  <si>
    <t xml:space="preserve">English-language expat in Spain show</t>
  </si>
  <si>
    <t xml:space="preserve">Beach Commute</t>
  </si>
  <si>
    <t xml:space="preserve">hello@beachcommute.com</t>
  </si>
  <si>
    <t xml:space="preserve">Dutch DJ living in Tenerife — when the commute is 10 minutes to the ocean</t>
  </si>
  <si>
    <t xml:space="preserve">Lifestyle show about living and working near beach/remotely</t>
  </si>
  <si>
    <t xml:space="preserve">Remote work + beach lifestyle show</t>
  </si>
  <si>
    <t xml:space="preserve">The Unstarving Musician</t>
  </si>
  <si>
    <t xml:space="preserve">Robonzo</t>
  </si>
  <si>
    <t xml:space="preserve">robonzo@unstarvingmusician.com</t>
  </si>
  <si>
    <t xml:space="preserve">30 tracks, every master owned, zero labels — built from scratch in Tenerife</t>
  </si>
  <si>
    <t xml:space="preserve">Practical music career show; RJ built career fully independently</t>
  </si>
  <si>
    <t xml:space="preserve">Practical indie music career show by working musician</t>
  </si>
  <si>
    <t xml:space="preserve">Art &amp; Faith Conversations</t>
  </si>
  <si>
    <t xml:space="preserve">artandfaithconversations@gmail.com</t>
  </si>
  <si>
    <t xml:space="preserve">Former raver, now Bible-inspired composer — faith didn't soften the music, it sharpened it</t>
  </si>
  <si>
    <t xml:space="preserve">Intersection of art and faith; RJ's music starts from specific scripture</t>
  </si>
  <si>
    <t xml:space="preserve">Dedicated faith + art dialogue show</t>
  </si>
  <si>
    <t xml:space="preserve">De Makers Podcast</t>
  </si>
  <si>
    <t xml:space="preserve">Medium NL/BE</t>
  </si>
  <si>
    <t xml:space="preserve">info@demakerspodcast.com</t>
  </si>
  <si>
    <t xml:space="preserve">Een Nederlandse DJ die alles losliet en op Tenerife opnieuw begon te maken</t>
  </si>
  <si>
    <t xml:space="preserve">Dutch makers/creators podcast; RJ is Dutch creator</t>
  </si>
  <si>
    <t xml:space="preserve">Dutch-language creators &amp; makers show — pitched in Dutch</t>
  </si>
  <si>
    <t xml:space="preserve">VERVORMER</t>
  </si>
  <si>
    <t xml:space="preserve">Niche NL electronic</t>
  </si>
  <si>
    <t xml:space="preserve">vervormer@melodiefabriek.nl</t>
  </si>
  <si>
    <t xml:space="preserve">Melodie Fabriek website</t>
  </si>
  <si>
    <t xml:space="preserve">Dutch psytrance producer in Tenerife — van raverscène naar bijbelverzen</t>
  </si>
  <si>
    <t xml:space="preserve">Dutch electronic music show via Melodie Fabriek; RJ is Dutch electronic musician</t>
  </si>
  <si>
    <t xml:space="preserve">Dutch electronic music show — pitched in Dutch</t>
  </si>
  <si>
    <t xml:space="preserve">Stories from the Pitch</t>
  </si>
  <si>
    <t xml:space="preserve">cbg@BuskerHallofFame.com</t>
  </si>
  <si>
    <t xml:space="preserve">Busker Hall of Fame website</t>
  </si>
  <si>
    <t xml:space="preserve">Busking at €750/hour at my peak — then losing everything</t>
  </si>
  <si>
    <t xml:space="preserve">Busking-focused show; RJ was professional busker earning €750/hr at peak</t>
  </si>
  <si>
    <t xml:space="preserve">Busker Hall of Fame podcast — perfect category match for RJ's street performance chapter</t>
  </si>
  <si>
    <t xml:space="preserve">The DJ Sessions</t>
  </si>
  <si>
    <t xml:space="preserve">info@thedjsessions.com</t>
  </si>
  <si>
    <t xml:space="preserve">Dutch DJ in Tenerife — 30 originals, every master owned, built entirely outside the system</t>
  </si>
  <si>
    <t xml:space="preserve">Weekly DJ mix + interview show; DJ-focused audience</t>
  </si>
  <si>
    <t xml:space="preserve">Long-running weekly DJ mix and interview show</t>
  </si>
  <si>
    <t xml:space="preserve">The Moving Abroad Podcast</t>
  </si>
  <si>
    <t xml:space="preserve">Medium NL</t>
  </si>
  <si>
    <t xml:space="preserve">hallo@movingabroadpodcast.nl</t>
  </si>
  <si>
    <t xml:space="preserve">Van Nederland naar Tenerife — opnieuw beginnen op een vulkanisch eiland</t>
  </si>
  <si>
    <t xml:space="preserve">Dutch expat/moving abroad podcast; RJ moved from NL to Tenerife</t>
  </si>
  <si>
    <t xml:space="preserve">Dutch-language moving abroad show — pitched in Dutch</t>
  </si>
  <si>
    <t xml:space="preserve">Emigreren naar Spanje (Nicoline Schipper)</t>
  </si>
  <si>
    <t xml:space="preserve">Nicoline Schipper</t>
  </si>
  <si>
    <t xml:space="preserve">Small-medium NL</t>
  </si>
  <si>
    <t xml:space="preserve">nicoline@nicolineschipper.com</t>
  </si>
  <si>
    <t xml:space="preserve">nicolineschipper.com</t>
  </si>
  <si>
    <t xml:space="preserve">Nederlandse DJ op Tenerife — emigreren als tweede kans</t>
  </si>
  <si>
    <t xml:space="preserve">Dutch emigration to Spain podcast; RJ emigrated to Tenerife (Spain)</t>
  </si>
  <si>
    <t xml:space="preserve">Dutch-language emigration to Spain specialist — pitched in Dutch</t>
  </si>
  <si>
    <t xml:space="preserve">The Create! Podcast</t>
  </si>
  <si>
    <t xml:space="preserve">Ekaterina Popova</t>
  </si>
  <si>
    <t xml:space="preserve">Entrepreneurship &amp; Personal Brand</t>
  </si>
  <si>
    <t xml:space="preserve">ekaterina.s.popova@gmail.com</t>
  </si>
  <si>
    <t xml:space="preserve">Podcast / Website</t>
  </si>
  <si>
    <t xml:space="preserve">Built a music brand from scratch — 30 originals, every master owned, no label, no manager</t>
  </si>
  <si>
    <t xml:space="preserve">Artist entrepreneurship show; RJ built whole career independently</t>
  </si>
  <si>
    <t xml:space="preserve">Artist-focused entrepreneurship and creative business show</t>
  </si>
  <si>
    <t xml:space="preserve">God and Gigs</t>
  </si>
  <si>
    <t xml:space="preserve">Allen Strickland</t>
  </si>
  <si>
    <t xml:space="preserve">allen@godandgigs.com</t>
  </si>
  <si>
    <t xml:space="preserve">From raver to Bible-inspired composer — faith didn't end the music, it became the music</t>
  </si>
  <si>
    <t xml:space="preserve">Faith + music career show; RJ's journey from raver to scripture-inspired artist</t>
  </si>
  <si>
    <t xml:space="preserve">Faith + music career podcast for Christian musicians</t>
  </si>
  <si>
    <t xml:space="preserve">The Pathless Path</t>
  </si>
  <si>
    <t xml:space="preserve">Paul Millerd</t>
  </si>
  <si>
    <t xml:space="preserve">100K+ downloads</t>
  </si>
  <si>
    <t xml:space="preserve">paul@pathlesspath.com</t>
  </si>
  <si>
    <t xml:space="preserve">Dutch DJ who walked away from the system — built a music career entirely on his own terms</t>
  </si>
  <si>
    <t xml:space="preserve">Anti-conventional-career show; RJ's path is perfectly pathless</t>
  </si>
  <si>
    <t xml:space="preserve">Best-selling book author; major indie career/lifestyle show</t>
  </si>
  <si>
    <t xml:space="preserve">Recording Studio Rockstars</t>
  </si>
  <si>
    <t xml:space="preserve">Lij Shaw</t>
  </si>
  <si>
    <t xml:space="preserve">lij@thetoyboxstudio.com</t>
  </si>
  <si>
    <t xml:space="preserve">The Toy Box Studio website (URL slug = lij2mail)</t>
  </si>
  <si>
    <t xml:space="preserve">30 original tracks, every master owned — what it costs to build a studio from scratch on an island</t>
  </si>
  <si>
    <t xml:space="preserve">Recording and music production show; RJ built home studio in Tenerife</t>
  </si>
  <si>
    <t xml:space="preserve">Studio owner + recording industry show; perfect for RJ's production story</t>
  </si>
  <si>
    <t xml:space="preserve">Armchair Expat</t>
  </si>
  <si>
    <t xml:space="preserve">info@bargain-homes.com</t>
  </si>
  <si>
    <t xml:space="preserve">bargain-homes.com (associated site)</t>
  </si>
  <si>
    <t xml:space="preserve">Dutch DJ in Tenerife — what they don't tell you about rebuilding your life abroad</t>
  </si>
  <si>
    <t xml:space="preserve">Expat lifestyle show; RJ's expat story in Tenerife</t>
  </si>
  <si>
    <t xml:space="preserve">Expat lifestyle podcast; contact via associated property site</t>
  </si>
  <si>
    <t xml:space="preserve">Brands on Brands</t>
  </si>
  <si>
    <t xml:space="preserve">Brandon Birkmeyer</t>
  </si>
  <si>
    <t xml:space="preserve">brandon@brandsonbrands.com</t>
  </si>
  <si>
    <t xml:space="preserve">Website / Work with Brandon page</t>
  </si>
  <si>
    <t xml:space="preserve">Personal brand built from nothing — Dutch DJ in Tenerife, 30 tracks, every master owned</t>
  </si>
  <si>
    <t xml:space="preserve">Top 10 personal brand podcast; one-person music brand built with zero industry entry points</t>
  </si>
  <si>
    <t xml:space="preserve">Personal branding podcast for executives and entrepreneurs</t>
  </si>
  <si>
    <t xml:space="preserve">Youpreneur</t>
  </si>
  <si>
    <t xml:space="preserve">Chris Ducker</t>
  </si>
  <si>
    <t xml:space="preserve">Large</t>
  </si>
  <si>
    <t xml:space="preserve">support@youpreneur.com</t>
  </si>
  <si>
    <t xml:space="preserve">Website support page</t>
  </si>
  <si>
    <t xml:space="preserve">Building a one-person music brand in Tenerife — 30 originals, every master owned, no label ever</t>
  </si>
  <si>
    <t xml:space="preserve">Perfectly aligned with 'youpreneur' model; RJ built entire music brand solo</t>
  </si>
  <si>
    <t xml:space="preserve">Major personal brand / solopreneur podcast by best-selling author Chris Ducker</t>
  </si>
  <si>
    <t xml:space="preserve">We Regret To Inform You</t>
  </si>
  <si>
    <t xml:space="preserve">Terry O'Reilly &amp; Sidney O'Reilly</t>
  </si>
  <si>
    <t xml:space="preserve">Large (CBC/Sirius XM)</t>
  </si>
  <si>
    <t xml:space="preserve">hello@apostrophepodcasts.ca</t>
  </si>
  <si>
    <t xml:space="preserve">Apostrophe Podcast Company / show website</t>
  </si>
  <si>
    <t xml:space="preserve">A musician's rejection story — lost everything at 30, rebuilt twice</t>
  </si>
  <si>
    <t xml:space="preserve">CBC/Sirius XM rejection stories show; RJ's collapse and rebuild is a strong fit</t>
  </si>
  <si>
    <t xml:space="preserve">Institutional CBC + Sirius XM show; hosted by Terry O'Reilly</t>
  </si>
  <si>
    <t xml:space="preserve">Voorgrond Muziek</t>
  </si>
  <si>
    <t xml:space="preserve">Ronald Molendijk</t>
  </si>
  <si>
    <t xml:space="preserve">Medium NL (TV/podcast)</t>
  </si>
  <si>
    <t xml:space="preserve">info@ronaldmolendijk.com</t>
  </si>
  <si>
    <t xml:space="preserve">ronaldmolendijk.com</t>
  </si>
  <si>
    <t xml:space="preserve">Gastvoorstel — Nederlandse DJ met een ongewoon verhaal en ongewone muziek</t>
  </si>
  <si>
    <t xml:space="preserve">Dutch music show; guests share 4 meaningful songs; RJ's music stories are deeply personal</t>
  </si>
  <si>
    <t xml:space="preserve">Dutch TV/podcast crossover; KIJK platform; pitched in Dutch</t>
  </si>
  <si>
    <t xml:space="preserve">DJ, Producer en Gear</t>
  </si>
  <si>
    <t xml:space="preserve">Sebastiaan Hooft</t>
  </si>
  <si>
    <t xml:space="preserve">Dutch &amp; European Audience / Electronic</t>
  </si>
  <si>
    <t xml:space="preserve">contact@redesignrecords.com</t>
  </si>
  <si>
    <t xml:space="preserve">sebastiaanhooft.com / Redesign Records</t>
  </si>
  <si>
    <t xml:space="preserve">Gast voor DJ, Producer en Gear — Nederlandse DJ in Tenerife, 30+ originals, geen label</t>
  </si>
  <si>
    <t xml:space="preserve">Dutch DJ/producer interview show; RJ is Dutch electronic producer with unique story and AI workflow</t>
  </si>
  <si>
    <t xml:space="preserve">Dutch electronic music show via Redesign Records; pitched in Dutch</t>
  </si>
  <si>
    <t xml:space="preserve">Digital Nomads Daily</t>
  </si>
  <si>
    <t xml:space="preserve">Nienke Nina</t>
  </si>
  <si>
    <t xml:space="preserve">Medium (Dutch-hosted)</t>
  </si>
  <si>
    <t xml:space="preserve">hello@digitalnomadsdaily.com</t>
  </si>
  <si>
    <t xml:space="preserve">Dutch DJ in Tenerife — nomadic life, 30 original tracks, every master owned</t>
  </si>
  <si>
    <t xml:space="preserve">Dutch host; nomad lifestyle show; RJ is Dutch producer living nomadically in Tenerife</t>
  </si>
  <si>
    <t xml:space="preserve">Bounced</t>
  </si>
  <si>
    <t xml:space="preserve">hello@digitalnomadsdaily.com bounced — no alternative found</t>
  </si>
  <si>
    <t xml:space="preserve">The Music Business Buddy</t>
  </si>
  <si>
    <t xml:space="preserve">Jonny Amos</t>
  </si>
  <si>
    <t xml:space="preserve">jonnyamos@me.com</t>
  </si>
  <si>
    <t xml:space="preserve">jonnyamos.com / podcast page</t>
  </si>
  <si>
    <t xml:space="preserve">Independent Dutch producer in Tenerife — 30+ tracks, every master owned, zero labels ever</t>
  </si>
  <si>
    <t xml:space="preserve">Music business education show; RJ's 30+ track fully independent catalogue is perfect case study</t>
  </si>
  <si>
    <t xml:space="preserve">Award-winning UK music industry educator podcast</t>
  </si>
  <si>
    <t xml:space="preserve">The Offbeat Life</t>
  </si>
  <si>
    <t xml:space="preserve">Debbie Arcangeles</t>
  </si>
  <si>
    <t xml:space="preserve">Medium (300+ episodes)</t>
  </si>
  <si>
    <t xml:space="preserve">hello@theoffbeatlife.com</t>
  </si>
  <si>
    <t xml:space="preserve">theoffbeatlife.com</t>
  </si>
  <si>
    <t xml:space="preserve">Dutch DJ turned location-independent producer in Tenerife — offbeat doesn't quite cover it</t>
  </si>
  <si>
    <t xml:space="preserve">300+ episode nomad show; RJ's busking-to-Tenerife-studio story is very offbeat</t>
  </si>
  <si>
    <t xml:space="preserve">300+ episode location-independent lifestyle show</t>
  </si>
  <si>
    <t xml:space="preserve">Vitamine S</t>
  </si>
  <si>
    <t xml:space="preserve">Danique Aaftink &amp; Tessa Waalwijk</t>
  </si>
  <si>
    <t xml:space="preserve">Small-medium NL/BE</t>
  </si>
  <si>
    <t xml:space="preserve">info@vegantravellife.com</t>
  </si>
  <si>
    <t xml:space="preserve">vegantravellife.com (Danique's site)</t>
  </si>
  <si>
    <t xml:space="preserve">Gastvoorstel voor Vitamine S — Nederlandse DJ woont en werkt op Tenerife</t>
  </si>
  <si>
    <t xml:space="preserve">Dutch podcast about living/working in Spain; RJ lives and works in Tenerife (Spain)</t>
  </si>
  <si>
    <t xml:space="preserve">Dutch-language living in Spain podcast — pitched in Dutch</t>
  </si>
  <si>
    <t xml:space="preserve">Belgische Ondernemers Podcast</t>
  </si>
  <si>
    <t xml:space="preserve">info@belgische-ondernemers.be</t>
  </si>
  <si>
    <t xml:space="preserve">belgische-ondernemers.be</t>
  </si>
  <si>
    <t xml:space="preserve">Gastvoorstel — Nederlandse muziekondernemer bouwt alles op van nul op Tenerife</t>
  </si>
  <si>
    <t xml:space="preserve">Belgian/Dutch entrepreneur podcast; RJ's independent music business story fits the format</t>
  </si>
  <si>
    <t xml:space="preserve">Belgian entrepreneurs podcast — pitched in Dutch</t>
  </si>
  <si>
    <t xml:space="preserve">De OndernemersPodcast</t>
  </si>
  <si>
    <t xml:space="preserve">Marjolein Hettinga</t>
  </si>
  <si>
    <t xml:space="preserve">marjolein@marjoleinhettinga.nl</t>
  </si>
  <si>
    <t xml:space="preserve">marjoleinhettinga.nl</t>
  </si>
  <si>
    <t xml:space="preserve">Gastvoorstel — Nederlandse DJ bouwt onafhankelijk muziekbedrijf op vanuit Tenerife</t>
  </si>
  <si>
    <t xml:space="preserve">Dutch entrepreneurship podcast; RJ's self-built music business is unconventional but compelling</t>
  </si>
  <si>
    <t xml:space="preserve">Dutch entrepreneurship podcast — pitched in Dutch</t>
  </si>
  <si>
    <t xml:space="preserve">The Creative Entrepreneur Podcast</t>
  </si>
  <si>
    <t xml:space="preserve">Bob Baker</t>
  </si>
  <si>
    <t xml:space="preserve">Medium (20+ years running)</t>
  </si>
  <si>
    <t xml:space="preserve">bob@bob-baker.com</t>
  </si>
  <si>
    <t xml:space="preserve">bob-baker.com contact page</t>
  </si>
  <si>
    <t xml:space="preserve">Guest pitch — Dutch producer, 30+ tracks, every master owned, built from nothing in Tenerife</t>
  </si>
  <si>
    <t xml:space="preserve">Long-running show for creative entrepreneurs; RJ's independent music business is textbook case</t>
  </si>
  <si>
    <t xml:space="preserve">20+ year music marketing / creative entrepreneur show</t>
  </si>
  <si>
    <t xml:space="preserve">The Struggling Artist</t>
  </si>
  <si>
    <t xml:space="preserve">Michael Coghlan</t>
  </si>
  <si>
    <t xml:space="preserve">Redemption/Resilience/Comeback</t>
  </si>
  <si>
    <t xml:space="preserve">~2K</t>
  </si>
  <si>
    <t xml:space="preserve">Active</t>
  </si>
  <si>
    <t xml:space="preserve">singularproductions@bigpond.com</t>
  </si>
  <si>
    <t xml:space="preserve">Search snippet</t>
  </si>
  <si>
    <t xml:space="preserve">Yes</t>
  </si>
  <si>
    <t xml:space="preserve">From street busking €750/hr to psytrance producer in Tenerife</t>
  </si>
  <si>
    <t xml:space="preserve">Artists who transform adversity into identity-defining work</t>
  </si>
  <si>
    <t xml:space="preserve">Drafted</t>
  </si>
  <si>
    <t xml:space="preserve">The SonicScoop Podcast</t>
  </si>
  <si>
    <t xml:space="preserve">Justin Colletti</t>
  </si>
  <si>
    <t xml:space="preserve">Electronic Music/DJ Podcasts</t>
  </si>
  <si>
    <t xml:space="preserve">~15K</t>
  </si>
  <si>
    <t xml:space="preserve">justin@sonicscoop.com</t>
  </si>
  <si>
    <t xml:space="preserve">Search snippet (muckrack)</t>
  </si>
  <si>
    <t xml:space="preserve">Guest pitch: DJ/producer using Bible-inspired psytrance + AI vocal manipulation from Tenerife</t>
  </si>
  <si>
    <t xml:space="preserve">Music production + AI tools + independent business model</t>
  </si>
  <si>
    <t xml:space="preserve">Libby Johnson</t>
  </si>
  <si>
    <t xml:space="preserve">Faith/Creativity Podcasts</t>
  </si>
  <si>
    <t xml:space="preserve">~5K</t>
  </si>
  <si>
    <t xml:space="preserve">Guest pitch: Bible-verse psytrance and the creative life of faith</t>
  </si>
  <si>
    <t xml:space="preserve">Scripture-driven music, faith as creative brief</t>
  </si>
  <si>
    <t xml:space="preserve">Living in Spain with David Wright</t>
  </si>
  <si>
    <t xml:space="preserve">David Wright</t>
  </si>
  <si>
    <t xml:space="preserve">Expat/Nomad/Lifestyle Podcasts</t>
  </si>
  <si>
    <t xml:space="preserve">davidinalmeria@gmail.com</t>
  </si>
  <si>
    <t xml:space="preserve">Search snippet (davidwrightonline.com)</t>
  </si>
  <si>
    <t xml:space="preserve">Guest pitch: Dutch DJ rebuilding his life in Tenerife — expat story with a twist</t>
  </si>
  <si>
    <t xml:space="preserve">Rebuilding life in Tenerife, Canary Islands expat angle</t>
  </si>
  <si>
    <t xml:space="preserve">Dutch/European Audience Podcasts</t>
  </si>
  <si>
    <t xml:space="preserve">~10K</t>
  </si>
  <si>
    <t xml:space="preserve">Search snippet confirmed</t>
  </si>
  <si>
    <t xml:space="preserve">Gastvoorstel: Nederlandse DJ/producer die psytrance maakt vanuit Tenerife</t>
  </si>
  <si>
    <t xml:space="preserve">Dutch entrepreneur podcast, independent release model, Dream or Donate</t>
  </si>
  <si>
    <t xml:space="preserve">Dutch pitch</t>
  </si>
  <si>
    <t xml:space="preserve">Robonzo (Roberto Hernandez)</t>
  </si>
  <si>
    <t xml:space="preserve">Independent Artist/Music Career Podcasts</t>
  </si>
  <si>
    <t xml:space="preserve">Search snippet (unstarvingmusician.com)</t>
  </si>
  <si>
    <t xml:space="preserve">Guest pitch: independent psytrance producer using AI vocals + crowdfunding model from Tenerife</t>
  </si>
  <si>
    <t xml:space="preserve">AI workflow, Dream or Donate crowdfunding model, independent music career</t>
  </si>
  <si>
    <t xml:space="preserve">~50K</t>
  </si>
  <si>
    <t xml:space="preserve">Guest pitch: Bible-verse psytrance producer from Tenerife</t>
  </si>
  <si>
    <t xml:space="preserve">Psytrance genre fit, Bible-verse creative process, Hebrew vocals</t>
  </si>
  <si>
    <t xml:space="preserve">Nomad Entrepreneur</t>
  </si>
  <si>
    <t xml:space="preserve">Daniel Falonipe</t>
  </si>
  <si>
    <t xml:space="preserve">~3K</t>
  </si>
  <si>
    <t xml:space="preserve">ifdanieldid@gmail.com</t>
  </si>
  <si>
    <t xml:space="preserve">Guest pitch: Dutch DJ/producer living in Tenerife — built a music career without a label or a plan</t>
  </si>
  <si>
    <t xml:space="preserve">Location-independent creative career, busking to Tenerife rebuild</t>
  </si>
  <si>
    <t xml:space="preserve">Tropical MBA</t>
  </si>
  <si>
    <t xml:space="preserve">Dan Andrews &amp; Ian Schoen</t>
  </si>
  <si>
    <t xml:space="preserve">jane@tropicalmba.com</t>
  </si>
  <si>
    <t xml:space="preserve">Search snippet (producer contact)</t>
  </si>
  <si>
    <t xml:space="preserve">Guest pitch: Dutch musician building an independent label from Tenerife</t>
  </si>
  <si>
    <t xml:space="preserve">Location-independent entrepreneur, Dream or Donate model, Tenerife base</t>
  </si>
  <si>
    <t xml:space="preserve">jane@tropicalmba.com bounced — old email; morgan@tropicalmba.com already used (ID 171)</t>
  </si>
  <si>
    <t xml:space="preserve">Dide Vonk</t>
  </si>
  <si>
    <t xml:space="preserve">Search snippet (demakerspodcast.com)</t>
  </si>
  <si>
    <t xml:space="preserve">Gast-aanvraag: Nederlandse DJ/producer maakt psytrance vanuit Tenerife</t>
  </si>
  <si>
    <t xml:space="preserve">Dutch arts/culture podcast, makers who operate outside the system</t>
  </si>
  <si>
    <t xml:space="preserve">Real Personal Branding</t>
  </si>
  <si>
    <t xml:space="preserve">Lauren V. Davis</t>
  </si>
  <si>
    <t xml:space="preserve">Entrepreneurship/Personal Brand Podcasts</t>
  </si>
  <si>
    <t xml:space="preserve">~8K</t>
  </si>
  <si>
    <t xml:space="preserve">info@laurendaviscreative.com</t>
  </si>
  <si>
    <t xml:space="preserve">Guest pitch: Bible-verse psytrance producer — a very unconventional personal brand story</t>
  </si>
  <si>
    <t xml:space="preserve">Authenticity-driven personal brand, scripture as identity, Dream or Donate</t>
  </si>
  <si>
    <t xml:space="preserve">Aartjan van Erkel Podcast</t>
  </si>
  <si>
    <t xml:space="preserve">Aartjan van Erkel</t>
  </si>
  <si>
    <t xml:space="preserve">~20K</t>
  </si>
  <si>
    <t xml:space="preserve">aartjan@schrijvenvoorinternet.nl</t>
  </si>
  <si>
    <t xml:space="preserve">Gast-aanvraag: Nederlandse DJ/producer met een onorthodox verdienmodel</t>
  </si>
  <si>
    <t xml:space="preserve">Dutch marketing/entrepreneurship podcast, Dream or Donate model</t>
  </si>
  <si>
    <t xml:space="preserve">Master Mind Body Spirit</t>
  </si>
  <si>
    <t xml:space="preserve">Matt Belair</t>
  </si>
  <si>
    <t xml:space="preserve">Matt@ZenAthlete.com</t>
  </si>
  <si>
    <t xml:space="preserve">Search snippet (mattbelair.com/contact)</t>
  </si>
  <si>
    <t xml:space="preserve">Guest pitch: sacred psytrance producer from Tenerife — scripture, sound, and rebuilding</t>
  </si>
  <si>
    <t xml:space="preserve">Conscious DJ/producer, spiritual intention in music, rebuild story</t>
  </si>
  <si>
    <t xml:space="preserve">The EDMProd Podcast</t>
  </si>
  <si>
    <t xml:space="preserve">Aden Russell</t>
  </si>
  <si>
    <t xml:space="preserve">Search snippet (edmprod.com)</t>
  </si>
  <si>
    <t xml:space="preserve">Guest pitch: psytrance producer using AI vocal manipulation as a core instrument</t>
  </si>
  <si>
    <t xml:space="preserve">AI workflow, singing into synths, independent production setup</t>
  </si>
  <si>
    <t xml:space="preserve">~30K</t>
  </si>
  <si>
    <t xml:space="preserve">info@createmagazine.com</t>
  </si>
  <si>
    <t xml:space="preserve">Guest pitch for The Create! Podcast: Dutch psytrance producer building independently from Tenerife</t>
  </si>
  <si>
    <t xml:space="preserve">Artist building independently, creative intention + business model</t>
  </si>
  <si>
    <t xml:space="preserve">Guest pitch: psytrance producer releasing independently from Tenerife via crowdfunding</t>
  </si>
  <si>
    <t xml:space="preserve">Dream or Donate crowdfunding model, independent release strategy</t>
  </si>
  <si>
    <t xml:space="preserve">Once A DJ</t>
  </si>
  <si>
    <t xml:space="preserve">Adam Gow (DJ Wax On)</t>
  </si>
  <si>
    <t xml:space="preserve">onceadjpodcast@gmail.com</t>
  </si>
  <si>
    <t xml:space="preserve">Guest pitch: Dutch psytrance DJ/producer — scripture, street busking, and a rebuild in Tenerife</t>
  </si>
  <si>
    <t xml:space="preserve">DJ career story, passion for the art, psytrance + scripture</t>
  </si>
  <si>
    <t xml:space="preserve">Team</t>
  </si>
  <si>
    <t xml:space="preserve">team@faithdrivenentrepreneur.org</t>
  </si>
  <si>
    <t xml:space="preserve">Search snippet (faithdrivenentrepreneur.org/contact)</t>
  </si>
  <si>
    <t xml:space="preserve">Guest pitch: faith-driven psytrance producer — scripture as creative brief, crowdfunding as business model</t>
  </si>
  <si>
    <t xml:space="preserve">Faith + entrepreneurship intersection, Dream or Donate, scripture as brief</t>
  </si>
  <si>
    <t xml:space="preserve">Operation Self Reset</t>
  </si>
  <si>
    <t xml:space="preserve">Jake Nawrocki</t>
  </si>
  <si>
    <t xml:space="preserve">jake@operationselfreset.com</t>
  </si>
  <si>
    <t xml:space="preserve">Search snippet (operationselfreset.com)</t>
  </si>
  <si>
    <t xml:space="preserve">Guest pitch: Dutch musician — from €750/hr street busking to rebuilding everything in Tenerife</t>
  </si>
  <si>
    <t xml:space="preserve">Reset story, identity collapse and rebuild, Tenerife from scratch</t>
  </si>
  <si>
    <t xml:space="preserve">Bounced – Redrafted</t>
  </si>
  <si>
    <t xml:space="preserve">Bounced – Redrafted to jake@operationselfreset.com</t>
  </si>
  <si>
    <t xml:space="preserve">David Aiken (Checkerboard Guy)</t>
  </si>
  <si>
    <t xml:space="preserve">Search snippet (buskerhalloffame.com)</t>
  </si>
  <si>
    <t xml:space="preserve">Guest pitch: former European street busker — earning €750/hr at the height, now making scripture-based psytrance in Tenerife</t>
  </si>
  <si>
    <t xml:space="preserve">Busking years across Europe, €750/hr at peak, what the pitch life teaches</t>
  </si>
  <si>
    <t xml:space="preserve">Making It with Chris G.</t>
  </si>
  <si>
    <t xml:space="preserve">Chris Goyzueta</t>
  </si>
  <si>
    <t xml:space="preserve">chris.goyzueta@gmail.com</t>
  </si>
  <si>
    <t xml:space="preserve">Search snippet (makingitwithchrisg.com)</t>
  </si>
  <si>
    <t xml:space="preserve">Guest pitch: Dutch psytrance producer — rebuilding from scratch in Tenerife</t>
  </si>
  <si>
    <t xml:space="preserve">Stripping away conventional music career playbook, rebuilding after collapse</t>
  </si>
  <si>
    <t xml:space="preserve">Maaike den Besten</t>
  </si>
  <si>
    <t xml:space="preserve">hallo@maaikedenbesten.com</t>
  </si>
  <si>
    <t xml:space="preserve">Search snippet (movingabroadpodcast.podbean.com)</t>
  </si>
  <si>
    <t xml:space="preserve">Gast voor Moving Abroad: Dutch DJ die opnieuw begon in Tenerife</t>
  </si>
  <si>
    <t xml:space="preserve">Expat story from inside, necessity not choice, creative work as anchor</t>
  </si>
  <si>
    <t xml:space="preserve">Dutch-language pitch</t>
  </si>
  <si>
    <t xml:space="preserve">Kingdom Pursuits</t>
  </si>
  <si>
    <t xml:space="preserve">Robby Dilmore</t>
  </si>
  <si>
    <t xml:space="preserve">rdilmore@truthnetwork.com</t>
  </si>
  <si>
    <t xml:space="preserve">Search snippet (truthnetwork.com)</t>
  </si>
  <si>
    <t xml:space="preserve">Guest pitch: psytrance producer using scripture as a creative brief</t>
  </si>
  <si>
    <t xml:space="preserve">Scripture as creative brief, faith holding identity when externals collapse</t>
  </si>
  <si>
    <t xml:space="preserve">The Christian Entrepreneurs Podcast</t>
  </si>
  <si>
    <t xml:space="preserve">Annemarie Cross</t>
  </si>
  <si>
    <t xml:space="preserve">tcepodcast@ambitiousentrepreneurnetwork.com</t>
  </si>
  <si>
    <t xml:space="preserve">Search snippet (ambitiousentrepreneurnetwork.com)</t>
  </si>
  <si>
    <t xml:space="preserve">Guest pitch: faith-driven music — scripture as creative brief, crowdfunding as business model</t>
  </si>
  <si>
    <t xml:space="preserve">Dream or Donate model, faith as foundation not decoration, no label</t>
  </si>
  <si>
    <t xml:space="preserve">Electronic Beats Weekly</t>
  </si>
  <si>
    <t xml:space="preserve">Juba / Kikelomo / 0tt0 Kent</t>
  </si>
  <si>
    <t xml:space="preserve">booking@electronicbeats.net</t>
  </si>
  <si>
    <t xml:space="preserve">Search snippet (electronicbeats.net/contact)</t>
  </si>
  <si>
    <t xml:space="preserve">Feature pitch: psytrance producer building independently from Tenerife — scripture, AI, and street busking</t>
  </si>
  <si>
    <t xml:space="preserve">Independent electronic music model, scripture + AI + busking background</t>
  </si>
  <si>
    <t xml:space="preserve">Telekom-backed media brand</t>
  </si>
  <si>
    <t xml:space="preserve">Ondernemen met Impact</t>
  </si>
  <si>
    <t xml:space="preserve">Jan Van den Broeck</t>
  </si>
  <si>
    <t xml:space="preserve">jan@goldenstory.be</t>
  </si>
  <si>
    <t xml:space="preserve">Search snippet (goldenstory.be)</t>
  </si>
  <si>
    <t xml:space="preserve">Gast voor Ondernemen met Impact: psytrance-producer die vanuit Tenerife impact bouwt</t>
  </si>
  <si>
    <t xml:space="preserve">Ondernemen vanuit missie, Dream or Donate, scripture als creatief briefje</t>
  </si>
  <si>
    <t xml:space="preserve">Dutch-language pitch; Belgian show</t>
  </si>
  <si>
    <t xml:space="preserve">Expat Focus</t>
  </si>
  <si>
    <t xml:space="preserve">Carlie Bonavia</t>
  </si>
  <si>
    <t xml:space="preserve">Search snippet (expatfocus.com)</t>
  </si>
  <si>
    <t xml:space="preserve">Guest pitch: Dutch musician who rebuilt his life from scratch in Tenerife</t>
  </si>
  <si>
    <t xml:space="preserve">Expat necessity not choice, €750/hr busking history, rebuilding identity abroad</t>
  </si>
  <si>
    <t xml:space="preserve">Go Be Great</t>
  </si>
  <si>
    <t xml:space="preserve">Travis Wolfe Sr.</t>
  </si>
  <si>
    <t xml:space="preserve">info@wolfempowerment.com</t>
  </si>
  <si>
    <t xml:space="preserve">Search snippet (wolfempowerment.com)</t>
  </si>
  <si>
    <t xml:space="preserve">Guest pitch: Dutch musician — identity collapse, street busking, and rebuilding from nothing in Tenerife</t>
  </si>
  <si>
    <t xml:space="preserve">Comeback story, identity collapse, daily decision to rebuild</t>
  </si>
  <si>
    <t xml:space="preserve">The Artist's Way Podcast</t>
  </si>
  <si>
    <t xml:space="preserve">theartistswayvenice@gmail.com</t>
  </si>
  <si>
    <t xml:space="preserve">Search snippet (Apple Podcasts)</t>
  </si>
  <si>
    <t xml:space="preserve">Guest pitch: music producer using scripture as morning pages — faith, AI, and creative recovery</t>
  </si>
  <si>
    <t xml:space="preserve">Creative recovery as spiritual practice, scripture as morning pages equivalent</t>
  </si>
  <si>
    <t xml:space="preserve">The Abundant Artist</t>
  </si>
  <si>
    <t xml:space="preserve">Cory Huff</t>
  </si>
  <si>
    <t xml:space="preserve">cory@theabundantartist.com</t>
  </si>
  <si>
    <t xml:space="preserve">Search snippet (theabundantartist.com/about)</t>
  </si>
  <si>
    <t xml:space="preserve">Guest pitch: psytrance producer building an independent music living — scripture, AI, and crowd-funded releases</t>
  </si>
  <si>
    <t xml:space="preserve">Dream or Donate model, no label, first-principles rebuild, busking to prove creative sustainability</t>
  </si>
  <si>
    <t xml:space="preserve">Dirty Disco (The Electronic Music Podcast)</t>
  </si>
  <si>
    <t xml:space="preserve">Kono Vidovic</t>
  </si>
  <si>
    <t xml:space="preserve">Search snippet (dirtydiscoradio.com)</t>
  </si>
  <si>
    <t xml:space="preserve">Guest pitch: Dutch psytrance producer — scripture-based productions from Tenerife</t>
  </si>
  <si>
    <t xml:space="preserve">Psytrance production process, scripture as brief, AI vocals, independent model</t>
  </si>
  <si>
    <t xml:space="preserve">The Full-Time Artist</t>
  </si>
  <si>
    <t xml:space="preserve">Nic Everist</t>
  </si>
  <si>
    <t xml:space="preserve">info@niceverist.com</t>
  </si>
  <si>
    <t xml:space="preserve">Search snippet (niceverist.com)</t>
  </si>
  <si>
    <t xml:space="preserve">Guest pitch: Dutch musician — going full-time on a Spanish island after losing everything</t>
  </si>
  <si>
    <t xml:space="preserve">Full-time creative life by necessity, no template, Dream or Donate, scripture framework</t>
  </si>
  <si>
    <t xml:space="preserve">De Transformatie Podcast</t>
  </si>
  <si>
    <t xml:space="preserve">Sjanett de Geus</t>
  </si>
  <si>
    <t xml:space="preserve">sjanett@twelve-waves.nl</t>
  </si>
  <si>
    <t xml:space="preserve">Search snippet (twelve-waves.academy)</t>
  </si>
  <si>
    <t xml:space="preserve">Gast voor De Transformatie Podcast: van €750/uur op straat naar psytrance in Tenerife</t>
  </si>
  <si>
    <t xml:space="preserve">Echte breuk en herstart, scripture als creatief briefje, Dream or Donate</t>
  </si>
  <si>
    <t xml:space="preserve">Psyland</t>
  </si>
  <si>
    <t xml:space="preserve">Alexis / Arxo</t>
  </si>
  <si>
    <t xml:space="preserve">info@psyland.live</t>
  </si>
  <si>
    <t xml:space="preserve">Search snippet (psyland.live/team)</t>
  </si>
  <si>
    <t xml:space="preserve">Guest pitch: Dutch psytrance producer — scripture as creative brief, AI vocals, independent releases from Tenerife</t>
  </si>
  <si>
    <t xml:space="preserve">Psytrance production process, scripture brief, AI vocals, Tenerife rebuild</t>
  </si>
  <si>
    <t xml:space="preserve">Greek-based psytrance interview show</t>
  </si>
  <si>
    <t xml:space="preserve">Psycast</t>
  </si>
  <si>
    <t xml:space="preserve">Electric Universe team</t>
  </si>
  <si>
    <t xml:space="preserve">psycast@electricuniverse.eu</t>
  </si>
  <si>
    <t xml:space="preserve">Guest pitch: Dutch psytrance producer — Bible verses as creative briefs, AI vocals, Tenerife</t>
  </si>
  <si>
    <t xml:space="preserve">Psytrance production philosophy, scripture brief, AI vocal manipulation</t>
  </si>
  <si>
    <t xml:space="preserve">Trance Talk (wayofdk)</t>
  </si>
  <si>
    <t xml:space="preserve">wayofdk</t>
  </si>
  <si>
    <t xml:space="preserve">podcast@wayofdk.de</t>
  </si>
  <si>
    <t xml:space="preserve">Search snippet (Apple Podcasts + wayofdk.de)</t>
  </si>
  <si>
    <t xml:space="preserve">Guest pitch: Dutch psytrance producer — scripture, spirituality, and building independently from Tenerife</t>
  </si>
  <si>
    <t xml:space="preserve">Psytrance + spirituality + indie music business, triple overlap with show themes</t>
  </si>
  <si>
    <t xml:space="preserve">German-based show</t>
  </si>
  <si>
    <t xml:space="preserve">Spain To Go</t>
  </si>
  <si>
    <t xml:space="preserve">Daniel Welsch</t>
  </si>
  <si>
    <t xml:space="preserve">danielwelsch@gmail.com</t>
  </si>
  <si>
    <t xml:space="preserve">Search snippet (expatmadrid.com)</t>
  </si>
  <si>
    <t xml:space="preserve">Guest pitch: Dutch musician rebuilding from scratch in Tenerife — the messy expat story</t>
  </si>
  <si>
    <t xml:space="preserve">Starting over by necessity not choice, Tenerife rebuild, no romanticised expat arc</t>
  </si>
  <si>
    <t xml:space="preserve">The Creative Entrepreneur</t>
  </si>
  <si>
    <t xml:space="preserve">Search snippet (bobbakerinspiration.com)</t>
  </si>
  <si>
    <t xml:space="preserve">Guest pitch: psytrance musician — scripture as creative framework, Dream or Donate, and building independently</t>
  </si>
  <si>
    <t xml:space="preserve">First-principles creative business model, Dream or Donate, no label</t>
  </si>
  <si>
    <t xml:space="preserve">The Worshiping Musician Podcast</t>
  </si>
  <si>
    <t xml:space="preserve">Manuel D. Rodriguez</t>
  </si>
  <si>
    <t xml:space="preserve">worshipingmusician@gmail.com</t>
  </si>
  <si>
    <t xml:space="preserve">Search snippet (worshipingmusician.org)</t>
  </si>
  <si>
    <t xml:space="preserve">Guest pitch: psytrance producer using scripture as a creative brief for every song</t>
  </si>
  <si>
    <t xml:space="preserve">Scripture as organising creative framework not just inspiration, psytrance worship</t>
  </si>
  <si>
    <t xml:space="preserve">Artists in Residence</t>
  </si>
  <si>
    <t xml:space="preserve">Isabelle Wilkinson</t>
  </si>
  <si>
    <t xml:space="preserve">Active (booking S4)</t>
  </si>
  <si>
    <t xml:space="preserve">hello@artistsinresidence.fyi</t>
  </si>
  <si>
    <t xml:space="preserve">Search snippet (artistsinresidence.fyi)</t>
  </si>
  <si>
    <t xml:space="preserve">Guest pitch: Dutch psytrance producer — turning scripture into sound from a studio in Tenerife</t>
  </si>
  <si>
    <t xml:space="preserve">Ideas into action, conviction into creative practice, rebuilding identity</t>
  </si>
  <si>
    <t xml:space="preserve">Currently booking Series 4</t>
  </si>
  <si>
    <t xml:space="preserve">Faith in the Arts</t>
  </si>
  <si>
    <t xml:space="preserve">Marlita Hill / Alastair Gordon / Jonny Mellor</t>
  </si>
  <si>
    <t xml:space="preserve">hello@faithinthearts.show</t>
  </si>
  <si>
    <t xml:space="preserve">Search snippet (faithinthearts.show)</t>
  </si>
  <si>
    <t xml:space="preserve">Guest pitch: psytrance producer — scripture as the structural language of every track</t>
  </si>
  <si>
    <t xml:space="preserve">Faith as architecture not just theme, psytrance + Christian framework</t>
  </si>
  <si>
    <t xml:space="preserve">Lotgenoten</t>
  </si>
  <si>
    <t xml:space="preserve">Jaro Knoppert &amp; Koen Stam</t>
  </si>
  <si>
    <t xml:space="preserve">contact@lotgenotenpodcast.nl</t>
  </si>
  <si>
    <t xml:space="preserve">Search snippet (lotgenotenpodcast.nl)</t>
  </si>
  <si>
    <t xml:space="preserve">Gast voor Lotgenoten: ondernemen als muzikant van scratch in Tenerife</t>
  </si>
  <si>
    <t xml:space="preserve">Ondernemers peer verhaal, alles kwijt en opnieuw beginnen, Dream or Donate</t>
  </si>
  <si>
    <t xml:space="preserve">De Spirituele Ondernemer</t>
  </si>
  <si>
    <t xml:space="preserve">Mariska Hanegraaf</t>
  </si>
  <si>
    <t xml:space="preserve">mariska@findyourlight.nl</t>
  </si>
  <si>
    <t xml:space="preserve">Search snippet (findyourlight.nl/podcast)</t>
  </si>
  <si>
    <t xml:space="preserve">Gast voor De Spirituele Ondernemer: psytrance-producer die Bijbelpassages als creatief briefje gebruikt</t>
  </si>
  <si>
    <t xml:space="preserve">Spiritualiteit als ondernemersstructuur, scripture als creatief briefje</t>
  </si>
  <si>
    <t xml:space="preserve">AFTCAST Tenerife</t>
  </si>
  <si>
    <t xml:space="preserve">Tim Dowd</t>
  </si>
  <si>
    <t xml:space="preserve">~1K</t>
  </si>
  <si>
    <t xml:space="preserve">imillar1346@gmail.com</t>
  </si>
  <si>
    <t xml:space="preserve">Search snippet (Rephonic)</t>
  </si>
  <si>
    <t xml:space="preserve">Guest pitch: Dutch musician making psytrance in the south of Tenerife — a local story</t>
  </si>
  <si>
    <t xml:space="preserve">Local Tenerife story, island life not on holiday, rebuilding from nothing</t>
  </si>
  <si>
    <t xml:space="preserve">Local Tenerife show</t>
  </si>
  <si>
    <t xml:space="preserve">School of Greatness</t>
  </si>
  <si>
    <t xml:space="preserve">Lewis Howes</t>
  </si>
  <si>
    <t xml:space="preserve">~150M dl</t>
  </si>
  <si>
    <t xml:space="preserve">lewis@greatness.com</t>
  </si>
  <si>
    <t xml:space="preserve">Search snippet (lewishowes.com/contact)</t>
  </si>
  <si>
    <t xml:space="preserve">Guest pitch: Dutch psytrance producer — €750/hr busking, scripture as creative brief, rebuilding in Tenerife</t>
  </si>
  <si>
    <t xml:space="preserve">Rebuilding identity after full collapse, what greatness looks like without the external architecture</t>
  </si>
  <si>
    <t xml:space="preserve">High-profile show; cold pitch low odds</t>
  </si>
  <si>
    <t xml:space="preserve">Songs &amp; Stories Podcast</t>
  </si>
  <si>
    <t xml:space="preserve">songsandstoriespod@outlook.com</t>
  </si>
  <si>
    <t xml:space="preserve">Search snippet (Apple Podcasts / Spotify)</t>
  </si>
  <si>
    <t xml:space="preserve">Guest pitch: psytrance producer — every song starts from a specific Bible verse</t>
  </si>
  <si>
    <t xml:space="preserve">Scripture as brief, song origin story, AI vocal manipulation process</t>
  </si>
  <si>
    <t xml:space="preserve">Irish-based show</t>
  </si>
  <si>
    <t xml:space="preserve">Song Stories Podcast</t>
  </si>
  <si>
    <t xml:space="preserve">Von Bieker</t>
  </si>
  <si>
    <t xml:space="preserve">dave@vonbieker.com</t>
  </si>
  <si>
    <t xml:space="preserve">Search snippet (vonbieker.com)</t>
  </si>
  <si>
    <t xml:space="preserve">Guest pitch: psytrance producer whose songs start from a Bible verse — the story behind the process</t>
  </si>
  <si>
    <t xml:space="preserve">Each song's anchor text, scripture to sound process, unusual creative method</t>
  </si>
  <si>
    <t xml:space="preserve">Bijzondere Ondernemersverhalen</t>
  </si>
  <si>
    <t xml:space="preserve">Roosmarijn Vos</t>
  </si>
  <si>
    <t xml:space="preserve">info@roosmarijnvos.com</t>
  </si>
  <si>
    <t xml:space="preserve">Search snippet (roosmarijnvos.com/contact)</t>
  </si>
  <si>
    <t xml:space="preserve">Gast voor Bijzondere Ondernemersverhalen: van €750/uur op straat naar psytrance in Tenerife</t>
  </si>
  <si>
    <t xml:space="preserve">Bijzonder verhaal: busken + Bijbel + Tenerife rebuild + Dream or Donate</t>
  </si>
  <si>
    <t xml:space="preserve">The Unmistakable Creative</t>
  </si>
  <si>
    <t xml:space="preserve">Srinivas Rao</t>
  </si>
  <si>
    <t xml:space="preserve">srao@unmistakablecreative.com</t>
  </si>
  <si>
    <t xml:space="preserve">Search snippet (unmistakablecreative.com)</t>
  </si>
  <si>
    <t xml:space="preserve">Guest pitch: psytrance producer — scripture as creative brief, AI vocals, and rebuilding from zero in Tenerife</t>
  </si>
  <si>
    <t xml:space="preserve">Original thinking, independence from trends via scripture brief, 1000+ episode show</t>
  </si>
  <si>
    <t xml:space="preserve">Music Biz Weekly</t>
  </si>
  <si>
    <t xml:space="preserve">Michael Brandvold</t>
  </si>
  <si>
    <t xml:space="preserve">me@mikebrandvold.com</t>
  </si>
  <si>
    <t xml:space="preserve">Search snippet (michaelbrandvold.com)</t>
  </si>
  <si>
    <t xml:space="preserve">Guest pitch: Dutch psytrance producer — independent model, scripture as creative brief, Dream or Donate</t>
  </si>
  <si>
    <t xml:space="preserve">Direct audience economy, Dream or Donate, busking as proof of concept</t>
  </si>
  <si>
    <t xml:space="preserve">Location Rebel</t>
  </si>
  <si>
    <t xml:space="preserve">Sean Ogle</t>
  </si>
  <si>
    <t xml:space="preserve">hello@locationrebel.com</t>
  </si>
  <si>
    <t xml:space="preserve">Search snippet (locationrebel.com/contact)</t>
  </si>
  <si>
    <t xml:space="preserve">Guest pitch: Dutch musician who built a location-independent music career from a studio in Tenerife</t>
  </si>
  <si>
    <t xml:space="preserve">True location independence via music, Tenerife as base, Dream or Donate model</t>
  </si>
  <si>
    <t xml:space="preserve">Impact Theory</t>
  </si>
  <si>
    <t xml:space="preserve">Tom Bilyeu</t>
  </si>
  <si>
    <t xml:space="preserve">~50M dl</t>
  </si>
  <si>
    <t xml:space="preserve">support@impacttheory.com</t>
  </si>
  <si>
    <t xml:space="preserve">Search snippet (impacttheory.com)</t>
  </si>
  <si>
    <t xml:space="preserve">Guest pitch: Dutch psytrance producer — scripture as the brief, AI as the tool, Tenerife as the base</t>
  </si>
  <si>
    <t xml:space="preserve">Identity collapse and rebuild, scripture + AI + busking, what it takes to do hard things</t>
  </si>
  <si>
    <t xml:space="preserve">Large show; cold pitch low odds</t>
  </si>
  <si>
    <t xml:space="preserve">Helden, de Podcast</t>
  </si>
  <si>
    <t xml:space="preserve">Barbara Barend / Jasper Boks / Marlies van Cleeff</t>
  </si>
  <si>
    <t xml:space="preserve">info@helden.media</t>
  </si>
  <si>
    <t xml:space="preserve">Search snippet (helden.media/contact)</t>
  </si>
  <si>
    <t xml:space="preserve">Gast voor Helden: van straatmuzikant in Europa naar psytrance-producer in Tenerife</t>
  </si>
  <si>
    <t xml:space="preserve">Held van eigen leven, vakmanschap zonder vangnet, herstart na alles kwijtraken</t>
  </si>
  <si>
    <t xml:space="preserve">Dutch-language pitch; heroes/inspirational show</t>
  </si>
  <si>
    <t xml:space="preserve">Simplify Podcast</t>
  </si>
  <si>
    <t xml:space="preserve">Caitlin Schiller / Ben Schuman-Stoler</t>
  </si>
  <si>
    <t xml:space="preserve">info@kollomedia.com</t>
  </si>
  <si>
    <t xml:space="preserve">Search snippet (Kollo Media / Podnews)</t>
  </si>
  <si>
    <t xml:space="preserve">Guest pitch for Simplify: psytrance producer who uses a 3,000-year-old text as his creative operating system</t>
  </si>
  <si>
    <t xml:space="preserve">Radical simplification via scripture brief, no trends, no labels, pure system</t>
  </si>
  <si>
    <t xml:space="preserve">The Music Industry Blueprint</t>
  </si>
  <si>
    <t xml:space="preserve">Rick Barker</t>
  </si>
  <si>
    <t xml:space="preserve">rick@rickbarker.com</t>
  </si>
  <si>
    <t xml:space="preserve">Search snippet (rickbarker.com)</t>
  </si>
  <si>
    <t xml:space="preserve">Guest pitch: Dutch psytrance producer — independent model with no label, no streaming dependency, no manager</t>
  </si>
  <si>
    <t xml:space="preserve">Direct artist-audience economy, Dream or Donate, busking as music industry education</t>
  </si>
  <si>
    <t xml:space="preserve">Host managed Taylor Swift</t>
  </si>
  <si>
    <t xml:space="preserve">Cross Rhythms</t>
  </si>
  <si>
    <t xml:space="preserve">radio@crossrhythms.co.uk</t>
  </si>
  <si>
    <t xml:space="preserve">Search snippet (crossrhythms.co.uk/contact)</t>
  </si>
  <si>
    <t xml:space="preserve">Guest pitch / artist feature: Dutch psytrance producer using Bible verses as creative briefs</t>
  </si>
  <si>
    <t xml:space="preserve">Scripture as brief, psytrance faith intersection, English/Hebrew lyrics</t>
  </si>
  <si>
    <t xml:space="preserve">UK Christian radio/podcast</t>
  </si>
  <si>
    <t xml:space="preserve">We're Going There (Bianca Olthoff)</t>
  </si>
  <si>
    <t xml:space="preserve">Bianca Juarez Olthoff</t>
  </si>
  <si>
    <t xml:space="preserve">podcast@inthenameoflove.org</t>
  </si>
  <si>
    <t xml:space="preserve">Search snippet (accessmore.com)</t>
  </si>
  <si>
    <t xml:space="preserve">Guest pitch: Dutch psytrance producer — faith as the architecture of a creative life</t>
  </si>
  <si>
    <t xml:space="preserve">Scripture as structure not inspiration, faith holding creative identity through collapse</t>
  </si>
  <si>
    <t xml:space="preserve">Viktoria</t>
  </si>
  <si>
    <t xml:space="preserve">Guest pitch: Dutch musician who moved to Tenerife after losing everything — worlds colliding</t>
  </si>
  <si>
    <t xml:space="preserve">Necessity not choice, identity collision, Dutch musician becomes Canarian resident</t>
  </si>
  <si>
    <t xml:space="preserve">Burner Podcast</t>
  </si>
  <si>
    <t xml:space="preserve">Arash Afshar (mr.arash)</t>
  </si>
  <si>
    <t xml:space="preserve">arash@mrarash.com</t>
  </si>
  <si>
    <t xml:space="preserve">Search snippet (burnerpodcast.com)</t>
  </si>
  <si>
    <t xml:space="preserve">Guest pitch: psytrance producer using Bible verses as creative briefs — scripture, consciousness, and sound</t>
  </si>
  <si>
    <t xml:space="preserve">Psytrance + scripture + consciousness angle, Burning Man community overlap</t>
  </si>
  <si>
    <t xml:space="preserve">Longest-running Burning Man podcast</t>
  </si>
  <si>
    <t xml:space="preserve">Burning Man LIVE</t>
  </si>
  <si>
    <t xml:space="preserve">Stuart / Andie / Kbot / Vav</t>
  </si>
  <si>
    <t xml:space="preserve">BML@burningman.org</t>
  </si>
  <si>
    <t xml:space="preserve">Search snippet (burning-man-live.simplecast.com)</t>
  </si>
  <si>
    <t xml:space="preserve">Guest pitch: psytrance producer — scripture as sonic framework, AI vocals, building independently in Tenerife</t>
  </si>
  <si>
    <t xml:space="preserve">Transformational electronic music outside conventional structures</t>
  </si>
  <si>
    <t xml:space="preserve">Official Burning Man podcast</t>
  </si>
  <si>
    <t xml:space="preserve">Heretic Happy Hour</t>
  </si>
  <si>
    <t xml:space="preserve">Keith Giles / Matthew Distefano</t>
  </si>
  <si>
    <t xml:space="preserve">keith@quoir.com</t>
  </si>
  <si>
    <t xml:space="preserve">Search snippet (heretichappyhour.com)</t>
  </si>
  <si>
    <t xml:space="preserve">Guest pitch: psytrance producer — scripture as creative brief, not Sunday school</t>
  </si>
  <si>
    <t xml:space="preserve">Unconventional faith + psytrance angle, irreverent but scripture-rooted</t>
  </si>
  <si>
    <t xml:space="preserve">Theology of Business</t>
  </si>
  <si>
    <t xml:space="preserve">Darren Shearer</t>
  </si>
  <si>
    <t xml:space="preserve">darren@theologyofbusiness.com</t>
  </si>
  <si>
    <t xml:space="preserve">Search snippet (theologyofbusiness.com/contact)</t>
  </si>
  <si>
    <t xml:space="preserve">Guest pitch: psytrance producer — scripture as creative brief, crowdfunding as business model</t>
  </si>
  <si>
    <t xml:space="preserve">Scripture structuring commerce not just ethics, Dream or Donate as theology</t>
  </si>
  <si>
    <t xml:space="preserve">Everything Belongs (CAC)</t>
  </si>
  <si>
    <t xml:space="preserve">Center for Action and Contemplation</t>
  </si>
  <si>
    <t xml:space="preserve">podcasts@cac.org</t>
  </si>
  <si>
    <t xml:space="preserve">Search snippet (cac.org/podcasts)</t>
  </si>
  <si>
    <t xml:space="preserve">Guest pitch: psytrance producer — scripture as daily creative practice, contemplative music from Tenerife</t>
  </si>
  <si>
    <t xml:space="preserve">Contemplative practice via daily scripture response, Rohr framework adjacent</t>
  </si>
  <si>
    <t xml:space="preserve">Richard Rohr org</t>
  </si>
  <si>
    <t xml:space="preserve">The Entrepreneurial Musician</t>
  </si>
  <si>
    <t xml:space="preserve">Andrew Hitz</t>
  </si>
  <si>
    <t xml:space="preserve">andrew@tem.fm</t>
  </si>
  <si>
    <t xml:space="preserve">Search snippet (tem.fm)</t>
  </si>
  <si>
    <t xml:space="preserve">Guest pitch: Dutch psytrance producer — scripture as creative brief, Dream or Donate, no label</t>
  </si>
  <si>
    <t xml:space="preserve">Direct exchange music economy, busking as proof of concept, Dream or Donate</t>
  </si>
  <si>
    <t xml:space="preserve">Lost and Found Podcast</t>
  </si>
  <si>
    <t xml:space="preserve">Derek Jones</t>
  </si>
  <si>
    <t xml:space="preserve">derek@lostandfoundpodcast.ca</t>
  </si>
  <si>
    <t xml:space="preserve">Search snippet (lostandfoundpodcast.ca)</t>
  </si>
  <si>
    <t xml:space="preserve">Guest pitch: Dutch psytrance producer — lost everything, found scripture, rebuilt in Tenerife</t>
  </si>
  <si>
    <t xml:space="preserve">Faith as anchor through collapse, scripture held creative identity</t>
  </si>
  <si>
    <t xml:space="preserve">Canadian show</t>
  </si>
  <si>
    <t xml:space="preserve">Opnieuw Beginnen (Holy Hub)</t>
  </si>
  <si>
    <t xml:space="preserve">Tabitha</t>
  </si>
  <si>
    <t xml:space="preserve">tabitha@holyhub.nl</t>
  </si>
  <si>
    <t xml:space="preserve">Search snippet (holyhub.nl)</t>
  </si>
  <si>
    <t xml:space="preserve">Gast voor Opnieuw Beginnen: Dutch DJ die alles kwijtraakte en herbegon in Tenerife</t>
  </si>
  <si>
    <t xml:space="preserve">Echte herstart door noodzaak, Bijbel als creatief anker, Dream or Donate</t>
  </si>
  <si>
    <t xml:space="preserve">Dutch-language pitch; Christian platform</t>
  </si>
  <si>
    <t xml:space="preserve">How to Fail</t>
  </si>
  <si>
    <t xml:space="preserve">Elizabeth Day</t>
  </si>
  <si>
    <t xml:space="preserve">Redemption/Resilience/Comeback Podcasts</t>
  </si>
  <si>
    <t xml:space="preserve">~500K</t>
  </si>
  <si>
    <t xml:space="preserve">howtofailpod@gmail.com</t>
  </si>
  <si>
    <t xml:space="preserve">Search snippet (howtofall.co.uk)</t>
  </si>
  <si>
    <t xml:space="preserve">Guest pitch: Dutch DJ — scripture, busking collapse, rebuilding from zero in Tenerife</t>
  </si>
  <si>
    <t xml:space="preserve">Three-failures format: busking collapse, losing home, music industry misfit — Dream or Donate, Tenerife rebuild</t>
  </si>
  <si>
    <t xml:space="preserve">Major UK show; Elizabeth Day; strong format fit</t>
  </si>
  <si>
    <t xml:space="preserve">Earning Freedom</t>
  </si>
  <si>
    <t xml:space="preserve">Michael Santos</t>
  </si>
  <si>
    <t xml:space="preserve">michael@michaelsantos.com</t>
  </si>
  <si>
    <t xml:space="preserve">Search snippet (michaelsantos.com)</t>
  </si>
  <si>
    <t xml:space="preserve">Guest pitch: Dutch musician — lost everything, rebuilt from zero through scripture and music</t>
  </si>
  <si>
    <t xml:space="preserve">Prison-to-freedom arc parallel; RJ lost home/income, rebuilt from zero, scripture as anchor</t>
  </si>
  <si>
    <t xml:space="preserve">Michael Santos spent 26 years in federal prison; broader rebuilding narrative</t>
  </si>
  <si>
    <t xml:space="preserve">Wanderlust Podcast</t>
  </si>
  <si>
    <t xml:space="preserve">Lyn Hughes</t>
  </si>
  <si>
    <t xml:space="preserve">lyn.hughes@wanderlust.co.uk</t>
  </si>
  <si>
    <t xml:space="preserve">Search snippet (wanderlust.co.uk)</t>
  </si>
  <si>
    <t xml:space="preserve">Guest pitch: Dutch DJ — lost his home, landed in Tenerife, built a music career from scratch</t>
  </si>
  <si>
    <t xml:space="preserve">Tenerife as necessity not lifestyle choice; expat story from collapse not curiosity</t>
  </si>
  <si>
    <t xml:space="preserve">UK travel media brand; Wanderlust magazine podcast</t>
  </si>
  <si>
    <t xml:space="preserve">Brilliant Biz and Life</t>
  </si>
  <si>
    <t xml:space="preserve">Samantha Bell</t>
  </si>
  <si>
    <t xml:space="preserve">podcast@16thavecreative.com</t>
  </si>
  <si>
    <t xml:space="preserve">Search snippet (rephonic.com)</t>
  </si>
  <si>
    <t xml:space="preserve">Guest pitch: Dutch DJ — scripture as creative brief, Dream or Donate, Tenerife rebuild</t>
  </si>
  <si>
    <t xml:space="preserve">Dream or Donate alternative monetisation, no label, scripture-based creative process</t>
  </si>
  <si>
    <t xml:space="preserve">Creative entrepreneurship podcast</t>
  </si>
  <si>
    <t xml:space="preserve">NPO Radio 1 Spraakmakers</t>
  </si>
  <si>
    <t xml:space="preserve">KRO-NCRV redactie</t>
  </si>
  <si>
    <t xml:space="preserve">~200K</t>
  </si>
  <si>
    <t xml:space="preserve">spraakmakers@kro-ncrv.nl</t>
  </si>
  <si>
    <t xml:space="preserve">Search snippet (nporadio1.nl)</t>
  </si>
  <si>
    <t xml:space="preserve">Gastvoorstel: Nederlandse DJ die alles verloor en herstartte op Tenerife</t>
  </si>
  <si>
    <t xml:space="preserve">Nederlandse herstart-story; straatmuzikant, huis verloren, Tenerife, Bijbel als creatief anker</t>
  </si>
  <si>
    <t xml:space="preserve">Dutch public radio NPO Radio 1; Dutch-language pitch</t>
  </si>
  <si>
    <t xml:space="preserve">Modern Wisdom</t>
  </si>
  <si>
    <t xml:space="preserve">Chris Williamson</t>
  </si>
  <si>
    <t xml:space="preserve">jonathan@chriswillx.com</t>
  </si>
  <si>
    <t xml:space="preserve">Search snippet (chriswillx.com)</t>
  </si>
  <si>
    <t xml:space="preserve">Guest pitch for Modern Wisdom: Dutch DJ — scripture, losing everything, rebuilding from zero</t>
  </si>
  <si>
    <t xml:space="preserve">Constraint as generative force; creativity/identity collapse and rebuild; alternative music economy</t>
  </si>
  <si>
    <t xml:space="preserve">Major UK self-improvement podcast; high competition</t>
  </si>
  <si>
    <t xml:space="preserve">Feel Better Live More</t>
  </si>
  <si>
    <t xml:space="preserve">Dr Rangan Chatterjee</t>
  </si>
  <si>
    <t xml:space="preserve">~1M</t>
  </si>
  <si>
    <t xml:space="preserve">info@drchatterjee.com</t>
  </si>
  <si>
    <t xml:space="preserve">Search snippet (drchatterjee.com)</t>
  </si>
  <si>
    <t xml:space="preserve">Guest pitch: Dutch DJ — scripture as creative anchor, losing everything, rebuilding on Tenerife</t>
  </si>
  <si>
    <t xml:space="preserve">Scripture as anchor through collapse; internal vs external identity; creative identity through adversity</t>
  </si>
  <si>
    <t xml:space="preserve">Major UK health/wellbeing podcast; high competition</t>
  </si>
  <si>
    <t xml:space="preserve">Music Gateway Podcast</t>
  </si>
  <si>
    <t xml:space="preserve">Jon Skinner</t>
  </si>
  <si>
    <t xml:space="preserve">jon@musicgateway.com</t>
  </si>
  <si>
    <t xml:space="preserve">Search snippet (musicgateway.com)</t>
  </si>
  <si>
    <t xml:space="preserve">Guest pitch: Dutch producer — scripture-based psytrance, Dream or Donate model, no label</t>
  </si>
  <si>
    <t xml:space="preserve">Alternative monetisation, AI as creative tool, no-label indie career from Tenerife</t>
  </si>
  <si>
    <t xml:space="preserve">Music industry platform; independent artist focus</t>
  </si>
  <si>
    <t xml:space="preserve">Risk! Podcast</t>
  </si>
  <si>
    <t xml:space="preserve">Kevin Allison</t>
  </si>
  <si>
    <t xml:space="preserve">~100K</t>
  </si>
  <si>
    <t xml:space="preserve">pitches@risk-show.com</t>
  </si>
  <si>
    <t xml:space="preserve">Search snippet (risk-show.com)</t>
  </si>
  <si>
    <t xml:space="preserve">Story pitch: Dutch DJ — the night I realised I had nowhere to go</t>
  </si>
  <si>
    <t xml:space="preserve">Storytelling show; home loss, scripture as the thing grabbed in freefall, Tenerife</t>
  </si>
  <si>
    <t xml:space="preserve">Story submission format, not traditional guest booking</t>
  </si>
  <si>
    <t xml:space="preserve">This American Life</t>
  </si>
  <si>
    <t xml:space="preserve">Ira Glass (producers)</t>
  </si>
  <si>
    <t xml:space="preserve">~3M</t>
  </si>
  <si>
    <t xml:space="preserve">storypitch@thisamericanlife.org</t>
  </si>
  <si>
    <t xml:space="preserve">Official submissions page (thisamericanlife.org)</t>
  </si>
  <si>
    <t xml:space="preserve">Story pitch: the year I lost everything and landed in Tenerife with a Bible and a hard drive</t>
  </si>
  <si>
    <t xml:space="preserve">Scripture as structure for identity collapse; psytrance from ancient text; Dream or Donate</t>
  </si>
  <si>
    <t xml:space="preserve">Very long shot; massive show; story submission not guest booking</t>
  </si>
  <si>
    <t xml:space="preserve">Strangers Podcast</t>
  </si>
  <si>
    <t xml:space="preserve">Lea Thau</t>
  </si>
  <si>
    <t xml:space="preserve">strangersradio@gmail.com</t>
  </si>
  <si>
    <t xml:space="preserve">Search snippet (storycentral.org)</t>
  </si>
  <si>
    <t xml:space="preserve">Story pitch: a Dutch man, a Bible verse, and a one-way flight to Tenerife</t>
  </si>
  <si>
    <t xml:space="preserve">Intimate storytelling format; scripture as anchor in collapse; Tenerife rebuild</t>
  </si>
  <si>
    <t xml:space="preserve">Storytelling/narrative show; may be on hiatus — check</t>
  </si>
  <si>
    <t xml:space="preserve">Sound on Sound Podcast</t>
  </si>
  <si>
    <t xml:space="preserve">SOS editorial team</t>
  </si>
  <si>
    <t xml:space="preserve">podcast.production@soundonsound.com</t>
  </si>
  <si>
    <t xml:space="preserve">Search snippet (soundonsound.com)</t>
  </si>
  <si>
    <t xml:space="preserve">Guest pitch: Dutch producer — AI vocal manipulation, scripture as creative brief, no-label indie</t>
  </si>
  <si>
    <t xml:space="preserve">AI as creative instrument; voice-only source material; psytrance production process</t>
  </si>
  <si>
    <t xml:space="preserve">Leading music production magazine/podcast</t>
  </si>
  <si>
    <t xml:space="preserve">The Expat Cast</t>
  </si>
  <si>
    <t xml:space="preserve">Nicole</t>
  </si>
  <si>
    <t xml:space="preserve">theexpatcast@gmail.com</t>
  </si>
  <si>
    <t xml:space="preserve">Search snippet (theexpatcast.com)</t>
  </si>
  <si>
    <t xml:space="preserve">Guest pitch: Dutch DJ — moved to Tenerife not for the weather but because I had nowhere else to go</t>
  </si>
  <si>
    <t xml:space="preserve">Necessity-driven expat story; home loss to Tenerife rebuild; Dream or Donate</t>
  </si>
  <si>
    <t xml:space="preserve">Expat lifestyle podcast</t>
  </si>
  <si>
    <t xml:space="preserve">Reboot Podcast</t>
  </si>
  <si>
    <t xml:space="preserve">Jerry Colonna</t>
  </si>
  <si>
    <t xml:space="preserve">hello@reboot.io</t>
  </si>
  <si>
    <t xml:space="preserve">Search snippet (reboot.io)</t>
  </si>
  <si>
    <t xml:space="preserve">Guest pitch: Dutch producer — the identity that survived when everything external collapsed</t>
  </si>
  <si>
    <t xml:space="preserve">Identity through collapse; scripture as unexpected anchor; leadership/self-discovery angle</t>
  </si>
  <si>
    <t xml:space="preserve">Leadership/entrepreneurship emotional depth podcast</t>
  </si>
  <si>
    <t xml:space="preserve">My Seven Chakras</t>
  </si>
  <si>
    <t xml:space="preserve">AJ (Aditya Jaykumar)</t>
  </si>
  <si>
    <t xml:space="preserve">aj@mysevenchakras.com</t>
  </si>
  <si>
    <t xml:space="preserve">Search snippet (mysevenchakras.com)</t>
  </si>
  <si>
    <t xml:space="preserve">Guest pitch: Dutch DJ — scripture as creative spine, psytrance, rebuilding from nothing in Tenerife</t>
  </si>
  <si>
    <t xml:space="preserve">Ancient wisdom as living creative tool; scripture + AI + psytrance intersection</t>
  </si>
  <si>
    <t xml:space="preserve">Spirituality/wellness podcast</t>
  </si>
  <si>
    <t xml:space="preserve">On Being</t>
  </si>
  <si>
    <t xml:space="preserve">Krista Tippett</t>
  </si>
  <si>
    <t xml:space="preserve">mail@onbeing.org</t>
  </si>
  <si>
    <t xml:space="preserve">Search snippet (onbeing.org)</t>
  </si>
  <si>
    <t xml:space="preserve">Guest pitch: Dutch DJ — scripture as creative architecture, psytrance, and rebuilding from nothing</t>
  </si>
  <si>
    <t xml:space="preserve">Scripture as living creative frame not doctrinal reference; identity through collapse; ancient text in contemporary music</t>
  </si>
  <si>
    <t xml:space="preserve">Major US spirituality/meaning podcast; high competition</t>
  </si>
  <si>
    <t xml:space="preserve">Renovaré Podcast</t>
  </si>
  <si>
    <t xml:space="preserve">Nathan Foster</t>
  </si>
  <si>
    <t xml:space="preserve">friends@renovare.org</t>
  </si>
  <si>
    <t xml:space="preserve">Search snippet (renovare.org)</t>
  </si>
  <si>
    <t xml:space="preserve">Guest pitch: Dutch DJ — scripture as creative brief, psytrance rooted in spiritual formation</t>
  </si>
  <si>
    <t xml:space="preserve">Lectio divina logic in music production; scripture as formative creative discipline</t>
  </si>
  <si>
    <t xml:space="preserve">Christian spiritual formation organisation</t>
  </si>
  <si>
    <t xml:space="preserve">Art + Faith Conversations</t>
  </si>
  <si>
    <t xml:space="preserve">Search snippet (artandfaithconversations.libsyn.com)</t>
  </si>
  <si>
    <t xml:space="preserve">Guest pitch: Dutch DJ — psytrance built from scripture, AI vocals, Dream or Donate</t>
  </si>
  <si>
    <t xml:space="preserve">Scripture as actual creative frame not illustration; AI vocals as instrument; faith integrated with making</t>
  </si>
  <si>
    <t xml:space="preserve">Strong thematic fit; faith + arts intersection</t>
  </si>
  <si>
    <t xml:space="preserve">The Recording Revolution / Graham Cochrane</t>
  </si>
  <si>
    <t xml:space="preserve">Graham Cochrane</t>
  </si>
  <si>
    <t xml:space="preserve">graham@therecordingrevolution.com</t>
  </si>
  <si>
    <t xml:space="preserve">Search snippet (grahamcochrane.com)</t>
  </si>
  <si>
    <t xml:space="preserve">Guest pitch: Dutch producer — Dream or Donate model, scripture-based psytrance, no label</t>
  </si>
  <si>
    <t xml:space="preserve">Alternative monetisation; Dream or Donate; constraint as creative fuel; no-label sustainable career</t>
  </si>
  <si>
    <t xml:space="preserve">Bounced – Redrafted to graham@therecordingrevolution.com</t>
  </si>
  <si>
    <t xml:space="preserve">3voor12 Radio / NPO 3FM</t>
  </si>
  <si>
    <t xml:space="preserve">Eva Cleven / Jasper Leijdens</t>
  </si>
  <si>
    <t xml:space="preserve">redactie@3fm.nl</t>
  </si>
  <si>
    <t xml:space="preserve">Search snippet (npo3fm.nl)</t>
  </si>
  <si>
    <t xml:space="preserve">Gastvoorstel: Nederlandse DJ die psytrance maakt op basis van Bijbelverzen — vanuit Tenerife</t>
  </si>
  <si>
    <t xml:space="preserve">Psytrance van Bijbelverzen; AI vocalen; Dream or Donate; straatmuzikant naar Tenerife</t>
  </si>
  <si>
    <t xml:space="preserve">Dutch public radio 3FM; alternative music focus; Dutch-language pitch</t>
  </si>
  <si>
    <t xml:space="preserve">EO / Nederland Zingt</t>
  </si>
  <si>
    <t xml:space="preserve">EO redactie</t>
  </si>
  <si>
    <t xml:space="preserve">eo@eo.nl</t>
  </si>
  <si>
    <t xml:space="preserve">Search snippet (eo.nl)</t>
  </si>
  <si>
    <t xml:space="preserve">Gastvoorstel voor Nederland Zingt of EO Podcast: Nederlandse DJ met Bijbel-gebaseerde psytrance</t>
  </si>
  <si>
    <t xml:space="preserve">Bijbel als creatief kader; AI vocalen; Dream or Donate; herstart in Tenerife</t>
  </si>
  <si>
    <t xml:space="preserve">Dutch evangelical broadcaster; Christian music focus; Dutch-language pitch</t>
  </si>
  <si>
    <t xml:space="preserve">Terrible, Thanks for Asking</t>
  </si>
  <si>
    <t xml:space="preserve">Nora McInerny</t>
  </si>
  <si>
    <t xml:space="preserve">ttfa@americanpublicmedia.org</t>
  </si>
  <si>
    <t xml:space="preserve">Search snippet (americanpublicmedia.org)</t>
  </si>
  <si>
    <t xml:space="preserve">Guest pitch: Dutch DJ — lost his home, went to Tenerife, found scripture</t>
  </si>
  <si>
    <t xml:space="preserve">What you reach for when the floor gives way; scripture as unexpected anchor; honest not tidy</t>
  </si>
  <si>
    <t xml:space="preserve">Major US podcast about grief and hard things; show format may have changed — verify</t>
  </si>
  <si>
    <t xml:space="preserve">The Minimalists Podcast</t>
  </si>
  <si>
    <t xml:space="preserve">Joshua Fields Millburn / Ryan Nicodemus</t>
  </si>
  <si>
    <t xml:space="preserve">~300K</t>
  </si>
  <si>
    <t xml:space="preserve">podcast@themins.com</t>
  </si>
  <si>
    <t xml:space="preserve">Search snippet (theminimalists.com)</t>
  </si>
  <si>
    <t xml:space="preserve">Guest pitch: Dutch producer — Dream or Donate, no label, scriptural constraints, Tenerife</t>
  </si>
  <si>
    <t xml:space="preserve">Stripping to essentials by necessity; Dream or Donate; scripture as constraint not decoration; simple life in Tenerife</t>
  </si>
  <si>
    <t xml:space="preserve">Major minimalism podcast; Dream or Donate model aligns well</t>
  </si>
  <si>
    <t xml:space="preserve">The Daily Stoic Podcast</t>
  </si>
  <si>
    <t xml:space="preserve">Ryan Holiday</t>
  </si>
  <si>
    <t xml:space="preserve">info@dailystoic.com</t>
  </si>
  <si>
    <t xml:space="preserve">Search snippet (dailystoic.com)</t>
  </si>
  <si>
    <t xml:space="preserve">Guest pitch: Dutch DJ — ancient text as daily creative discipline, losing everything, Tenerife</t>
  </si>
  <si>
    <t xml:space="preserve">Scripture as daily practice not abstract belief; constraint as creative fuel; Stoic parallels</t>
  </si>
  <si>
    <t xml:space="preserve">Philosophy-as-practice podcast; strong thematic fit with scripture as discipline</t>
  </si>
  <si>
    <t xml:space="preserve">We Can Do Hard Things</t>
  </si>
  <si>
    <t xml:space="preserve">Glennon Doyle / Abby Wambach</t>
  </si>
  <si>
    <t xml:space="preserve">wecandobookings@treatmedia.com</t>
  </si>
  <si>
    <t xml:space="preserve">Search snippet (wecandohardthingspodcast.com)</t>
  </si>
  <si>
    <t xml:space="preserve">Guest pitch: Dutch DJ — lost his home, scripture, psytrance, rebuilding in Tenerife</t>
  </si>
  <si>
    <t xml:space="preserve">Reaching for unexpected anchor in hardest moments; home loss to Tenerife; scripture surprise</t>
  </si>
  <si>
    <t xml:space="preserve">Major podcast; high competition; Treat Media booking</t>
  </si>
  <si>
    <t xml:space="preserve">Practicing the Way</t>
  </si>
  <si>
    <t xml:space="preserve">John Mark Comer</t>
  </si>
  <si>
    <t xml:space="preserve">hello@practicingtheway.org</t>
  </si>
  <si>
    <t xml:space="preserve">Search snippet (practicingtheway.org)</t>
  </si>
  <si>
    <t xml:space="preserve">Guest pitch: Dutch DJ — scripture as daily creative practice, psytrance from ancient text</t>
  </si>
  <si>
    <t xml:space="preserve">Spiritual formation as creative discipline; scripture as practice not doctrine; lectio divina logic in music</t>
  </si>
  <si>
    <t xml:space="preserve">Strong thematic fit; spiritual formation podcast</t>
  </si>
  <si>
    <t xml:space="preserve">Everything Happens</t>
  </si>
  <si>
    <t xml:space="preserve">Kate Bowler</t>
  </si>
  <si>
    <t xml:space="preserve">hello@katebowler.com</t>
  </si>
  <si>
    <t xml:space="preserve">Search snippet (katebowler.com)</t>
  </si>
  <si>
    <t xml:space="preserve">Guest pitch: Dutch DJ — losing everything, scripture, psytrance, and the part that surprised me</t>
  </si>
  <si>
    <t xml:space="preserve">What holds when everything collapses; scripture as unexpected anchor; honest messy questions</t>
  </si>
  <si>
    <t xml:space="preserve">Duke Divinity; loss/suffering/resilience; strong narrative fit</t>
  </si>
  <si>
    <t xml:space="preserve">The Bible for Normal People</t>
  </si>
  <si>
    <t xml:space="preserve">Pete Enns / Jared Byas</t>
  </si>
  <si>
    <t xml:space="preserve">info@thebiblefornormalpeople.com</t>
  </si>
  <si>
    <t xml:space="preserve">Search snippet (thebiblefornormalpeople.com)</t>
  </si>
  <si>
    <t xml:space="preserve">Guest pitch: Dutch DJ — using scripture as a creative brief for psytrance music</t>
  </si>
  <si>
    <t xml:space="preserve">Scripture as genuine engagement not simple answers; psytrance as unusual destination for biblical engagement</t>
  </si>
  <si>
    <t xml:space="preserve">Progressive biblical scholarship podcast</t>
  </si>
  <si>
    <t xml:space="preserve">Life-Changing Magic (BBC)</t>
  </si>
  <si>
    <t xml:space="preserve">BBC Radio team</t>
  </si>
  <si>
    <t xml:space="preserve">lifechanging@bbc.co.uk</t>
  </si>
  <si>
    <t xml:space="preserve">Search snippet (bbc.co.uk)</t>
  </si>
  <si>
    <t xml:space="preserve">Guest pitch: Dutch DJ — the collapse that sent him to Tenerife and the scripture that followed</t>
  </si>
  <si>
    <t xml:space="preserve">BBC radio transformation stories; genuine collapse not polished narrative; scripture as unexpected discovery</t>
  </si>
  <si>
    <t xml:space="preserve">BBC Radio UK; high reach</t>
  </si>
  <si>
    <t xml:space="preserve">The Robcast</t>
  </si>
  <si>
    <t xml:space="preserve">Rob Bell</t>
  </si>
  <si>
    <t xml:space="preserve">BrandPartnerships@teamwass.com</t>
  </si>
  <si>
    <t xml:space="preserve">Search snippet (teamwass.com)</t>
  </si>
  <si>
    <t xml:space="preserve">Guest pitch for The Robcast: Dutch DJ — scripture, psytrance, losing everything, Tenerife</t>
  </si>
  <si>
    <t xml:space="preserve">Living Bible as creative constraint; ancient texts and contemporary making; Tenerife rebuild</t>
  </si>
  <si>
    <t xml:space="preserve">Rob Bell progressive Christianity podcast; brand partnerships email — may not be right channel</t>
  </si>
  <si>
    <t xml:space="preserve">Courage and Clarity</t>
  </si>
  <si>
    <t xml:space="preserve">Steph Crowder</t>
  </si>
  <si>
    <t xml:space="preserve">hello@stephcrowder.com</t>
  </si>
  <si>
    <t xml:space="preserve">Search snippet (stephcrowder.com)</t>
  </si>
  <si>
    <t xml:space="preserve">Guest pitch: Dutch DJ — built a music career from nothing in Tenerife, Dream or Donate, scripture</t>
  </si>
  <si>
    <t xml:space="preserve">Dream or Donate from necessity; stripping away systems; creative business built on own terms</t>
  </si>
  <si>
    <t xml:space="preserve">Creative business podcast</t>
  </si>
  <si>
    <t xml:space="preserve">The PloughCast</t>
  </si>
  <si>
    <t xml:space="preserve">Peter Mommsen / Susannah Black Roberts</t>
  </si>
  <si>
    <t xml:space="preserve">submissions@plough.com</t>
  </si>
  <si>
    <t xml:space="preserve">Search snippet (plough.com)</t>
  </si>
  <si>
    <t xml:space="preserve">Guest pitch for The PloughCast: Dutch DJ — scripture as creative constraint, psytrance, Tenerife</t>
  </si>
  <si>
    <t xml:space="preserve">Art under constraint; ancient forms in contemporary making; Bruderhof community connection</t>
  </si>
  <si>
    <t xml:space="preserve">Plough Quarterly (Bruderhof); serious Christian culture publication</t>
  </si>
  <si>
    <t xml:space="preserve">The Rabbit Room Podcast</t>
  </si>
  <si>
    <t xml:space="preserve">Andrew Peterson / Sarah Katherine</t>
  </si>
  <si>
    <t xml:space="preserve">sarahkatherine@rabbitroom.com</t>
  </si>
  <si>
    <t xml:space="preserve">Search snippet (rabbitroom.com)</t>
  </si>
  <si>
    <t xml:space="preserve">Guest pitch: Dutch DJ — scripture as creative brief, psytrance, rebuilding in Tenerife</t>
  </si>
  <si>
    <t xml:space="preserve">Faithful making as serious project; scripture as discipline not decoration; art + faith community</t>
  </si>
  <si>
    <t xml:space="preserve">Andrew Peterson's Christian artists community</t>
  </si>
  <si>
    <t xml:space="preserve">How I Built This</t>
  </si>
  <si>
    <t xml:space="preserve">Guy Raz</t>
  </si>
  <si>
    <t xml:space="preserve">hibt@id.wondery.com</t>
  </si>
  <si>
    <t xml:space="preserve">Search snippet (wondery.com)</t>
  </si>
  <si>
    <t xml:space="preserve">Story pitch: How I Built Dream or Donate — a Dutch producer's music model built from nothing in Tenerife</t>
  </si>
  <si>
    <t xml:space="preserve">Dream or Donate origin story; constraint as engine; every decision from necessity not strategy</t>
  </si>
  <si>
    <t xml:space="preserve">Major NPR/Wondery entrepreneurship show; very high competition</t>
  </si>
  <si>
    <t xml:space="preserve">De Verwondering</t>
  </si>
  <si>
    <t xml:space="preserve">Annemiek Schrijver</t>
  </si>
  <si>
    <t xml:space="preserve">info@deverwondering.nl</t>
  </si>
  <si>
    <t xml:space="preserve">Search snippet (deverwondering.nl / kro-ncrv.nl)</t>
  </si>
  <si>
    <t xml:space="preserve">Gastvoorstel: Nederlandse DJ die psytrance maakt vanuit Bijbelverzen — Tenerife, verlies, en opnieuw beginnen</t>
  </si>
  <si>
    <t xml:space="preserve">Existentieel verhaal; Bijbel als anker in verlies; herstart door noodzaak; verwondering over geloofsleven</t>
  </si>
  <si>
    <t xml:space="preserve">NPO2 Dutch spiritual/philosophical TV show; KRO-NCRV; Dutch-language pitch; strong fit</t>
  </si>
  <si>
    <t xml:space="preserve">The Holy Post</t>
  </si>
  <si>
    <t xml:space="preserve">Phil Vischer / Skye Jethani</t>
  </si>
  <si>
    <t xml:space="preserve">admin@holypost.com</t>
  </si>
  <si>
    <t xml:space="preserve">Search snippet (holypost.com)</t>
  </si>
  <si>
    <t xml:space="preserve">Guest pitch: Dutch DJ — psytrance built from scripture, Dream or Donate, rebuilding in Tenerife</t>
  </si>
  <si>
    <t xml:space="preserve">Bible as genuine creative frame; faith + culture; psytrance as unusual genre for biblical engagement</t>
  </si>
  <si>
    <t xml:space="preserve">Phil Vischer (VeggieTales); thoughtful faith/culture podcast</t>
  </si>
  <si>
    <t xml:space="preserve">The Gospel Coalition Podcast</t>
  </si>
  <si>
    <t xml:space="preserve">TGC editorial team</t>
  </si>
  <si>
    <t xml:space="preserve">podcasts@thegospelcoalition.org</t>
  </si>
  <si>
    <t xml:space="preserve">Search snippet (thegospelcoalition.org)</t>
  </si>
  <si>
    <t xml:space="preserve">Guest pitch: Dutch producer — scripture as creative brief for psytrance, Dream or Donate, Tenerife</t>
  </si>
  <si>
    <t xml:space="preserve">Christian engaging secular culture; Word shaping work; faith and vocation angle</t>
  </si>
  <si>
    <t xml:space="preserve">Reformed evangelical; may be conservative for psytrance angle</t>
  </si>
  <si>
    <t xml:space="preserve">Spain Revealed</t>
  </si>
  <si>
    <t xml:space="preserve">James Blick</t>
  </si>
  <si>
    <t xml:space="preserve">james@jamesblick.com</t>
  </si>
  <si>
    <t xml:space="preserve">Search snippet (spainrevealed.com)</t>
  </si>
  <si>
    <t xml:space="preserve">Guest pitch: Dutch DJ living in Tenerife — came out of necessity, built a music career from scratch</t>
  </si>
  <si>
    <t xml:space="preserve">Necessity-driven move; Tenerife as starting-from-zero location; unusual expat story</t>
  </si>
  <si>
    <t xml:space="preserve">Spain expat/travel podcast</t>
  </si>
  <si>
    <t xml:space="preserve">Paul Burge</t>
  </si>
  <si>
    <t xml:space="preserve">Guest pitch: Dutch DJ in Tenerife — moved out of necessity, built a music career from scratch</t>
  </si>
  <si>
    <t xml:space="preserve">Stripping back and building real; Tenerife made the space; Spain expat authentic story</t>
  </si>
  <si>
    <t xml:space="preserve">Spain culture/lifestyle podcast</t>
  </si>
  <si>
    <t xml:space="preserve">Music Business Worldwide</t>
  </si>
  <si>
    <t xml:space="preserve">Tim Ingham</t>
  </si>
  <si>
    <t xml:space="preserve">tim@musicbizworldwide.com</t>
  </si>
  <si>
    <t xml:space="preserve">Search snippet (musicbusinessworldwide.com)</t>
  </si>
  <si>
    <t xml:space="preserve">Guest pitch: Dutch producer — Dream or Donate model, scripture-based psytrance, no label or streaming</t>
  </si>
  <si>
    <t xml:space="preserve">Dream or Donate as edge-case music business model; AI production tools; direct listener exchange</t>
  </si>
  <si>
    <t xml:space="preserve">Leading music industry trade publication/podcast</t>
  </si>
  <si>
    <t xml:space="preserve">The Fulfilled Musicpreneur</t>
  </si>
  <si>
    <t xml:space="preserve">Ebi Oginni</t>
  </si>
  <si>
    <t xml:space="preserve">ebioginnimusic@gmail.com</t>
  </si>
  <si>
    <t xml:space="preserve">Search snippet (ebioginni.com)</t>
  </si>
  <si>
    <t xml:space="preserve">Guest pitch: Dutch producer — Dream or Donate, scripture-based psytrance, Tenerife rebuild</t>
  </si>
  <si>
    <t xml:space="preserve">Fulfilled career on own terms; Dream or Donate; no label; process as conviction not strategy</t>
  </si>
  <si>
    <t xml:space="preserve">Music career/purpose podcast</t>
  </si>
  <si>
    <t xml:space="preserve">Mere Christians</t>
  </si>
  <si>
    <t xml:space="preserve">Jordan Raynor</t>
  </si>
  <si>
    <t xml:space="preserve">jordan@jordanraynor.com</t>
  </si>
  <si>
    <t xml:space="preserve">Search snippet (jordanraynor.com)</t>
  </si>
  <si>
    <t xml:space="preserve">Guest pitch for Mere Christians: Dutch DJ — scripture as daily creative discipline, Tenerife, Dream or Donate</t>
  </si>
  <si>
    <t xml:space="preserve">Faith integrated with work not parallel to it; scripture as discipline; Dream or Donate as faithful economics</t>
  </si>
  <si>
    <t xml:space="preserve">Faith and work integration podcast; strong fit</t>
  </si>
  <si>
    <t xml:space="preserve">FDE team</t>
  </si>
  <si>
    <t xml:space="preserve">Search snippet (faithdrivenentrepreneur.org)</t>
  </si>
  <si>
    <t xml:space="preserve">Guest pitch: Dutch DJ — Dream or Donate model, scripture-based music, faith-driven career from Tenerife</t>
  </si>
  <si>
    <t xml:space="preserve">Dream or Donate as faith-shaped business model; conviction driving economics not just ethics</t>
  </si>
  <si>
    <t xml:space="preserve">Faith and entrepreneurship podcast</t>
  </si>
  <si>
    <t xml:space="preserve">Creative Warriors</t>
  </si>
  <si>
    <t xml:space="preserve">Jeffrey Shaw</t>
  </si>
  <si>
    <t xml:space="preserve">info@jeffreyshaw.com</t>
  </si>
  <si>
    <t xml:space="preserve">Search snippet (jeffreyshaw.com)</t>
  </si>
  <si>
    <t xml:space="preserve">Guest pitch: Dutch DJ — lost everything, rebuilt a creative career in Tenerife from zero</t>
  </si>
  <si>
    <t xml:space="preserve">Creative reinvention from necessity; constraint as engine; Dream or Donate from scratch</t>
  </si>
  <si>
    <t xml:space="preserve">The Come Back Podcast</t>
  </si>
  <si>
    <t xml:space="preserve">Ashly Stone</t>
  </si>
  <si>
    <t xml:space="preserve">ashly.comebackpodcast@gmail.com</t>
  </si>
  <si>
    <t xml:space="preserve">Search snippet (comebackpodcast.org)</t>
  </si>
  <si>
    <t xml:space="preserve">Story pitch: Dutch DJ — lost his home, went to Tenerife, rebuilt everything from scripture and AI</t>
  </si>
  <si>
    <t xml:space="preserve">Real comeback story; home loss, Tenerife necessity, scripture as unexpected anchor</t>
  </si>
  <si>
    <t xml:space="preserve">Comeback after failure podcast</t>
  </si>
  <si>
    <t xml:space="preserve">Freakonomics Radio</t>
  </si>
  <si>
    <t xml:space="preserve">Stephen Dubner</t>
  </si>
  <si>
    <t xml:space="preserve">~10M</t>
  </si>
  <si>
    <t xml:space="preserve">radio@freakonomics.com</t>
  </si>
  <si>
    <t xml:space="preserve">Search snippet (freakonomics.com)</t>
  </si>
  <si>
    <t xml:space="preserve">Story/guest pitch: the economics of Dream or Donate — a Dutch producer's unusual music model</t>
  </si>
  <si>
    <t xml:space="preserve">Dream or Donate as economic experiment; pay-what-you-want dynamics; €750/hr busking data point</t>
  </si>
  <si>
    <t xml:space="preserve">Major NPR/Pushkin economics podcast; very high competition</t>
  </si>
  <si>
    <t xml:space="preserve">The Way I Heard It</t>
  </si>
  <si>
    <t xml:space="preserve">Mike Rowe</t>
  </si>
  <si>
    <t xml:space="preserve">info@mikeroweworks.com</t>
  </si>
  <si>
    <t xml:space="preserve">Search snippet (mikerowe.com)</t>
  </si>
  <si>
    <t xml:space="preserve">Story pitch for The Way I Heard It: Dutch DJ, €750 an hour, then nothing, then Tenerife</t>
  </si>
  <si>
    <t xml:space="preserve">Biographical twist narrative; scripture as the real reveal; what person is made of when floor gives way</t>
  </si>
  <si>
    <t xml:space="preserve">Biographical storytelling podcast; pitched as story not guest booking</t>
  </si>
  <si>
    <t xml:space="preserve">DJ Mag</t>
  </si>
  <si>
    <t xml:space="preserve">Eoin Murray (Digital Editor)</t>
  </si>
  <si>
    <t xml:space="preserve">eoin.murray@djmag.com</t>
  </si>
  <si>
    <t xml:space="preserve">Search snippet (djmag.com/how-to-pitch)</t>
  </si>
  <si>
    <t xml:space="preserve">Feature pitch: Dutch producer — psytrance from Bible verses, AI vocal instruments, Dream or Donate</t>
  </si>
  <si>
    <t xml:space="preserve">Three angles: AI voice-to-instrument production; Dream or Donate post-streaming model; scripture as creative brief</t>
  </si>
  <si>
    <t xml:space="preserve">World's biggest DJ/dance music magazine; editorial feature pitch not podcast booking</t>
  </si>
  <si>
    <t xml:space="preserve">1001Tracklists</t>
  </si>
  <si>
    <t xml:space="preserve">Oskar</t>
  </si>
  <si>
    <t xml:space="preserve">oskar@1001tracklists.com</t>
  </si>
  <si>
    <t xml:space="preserve">Search snippet (1001tracklists.com)</t>
  </si>
  <si>
    <t xml:space="preserve">Artist feature pitch: Dutch psytrance producer — Bible-verse briefs, AI vocal instruments, Tenerife</t>
  </si>
  <si>
    <t xml:space="preserve">Production-curious community; voice-to-instrument AI process; unusual psytrance origin story</t>
  </si>
  <si>
    <t xml:space="preserve">Major electronic music platform; feature pitch</t>
  </si>
  <si>
    <t xml:space="preserve">Zero to Travel</t>
  </si>
  <si>
    <t xml:space="preserve">Jason Moore</t>
  </si>
  <si>
    <t xml:space="preserve">jason@zerototravel.com</t>
  </si>
  <si>
    <t xml:space="preserve">Search snippet (zerototravel.com)</t>
  </si>
  <si>
    <t xml:space="preserve">Guest pitch: Dutch DJ in Tenerife — moved out of necessity, built a music career from zero</t>
  </si>
  <si>
    <t xml:space="preserve">Location freedom from necessity not design; Tenerife as accidental creative base; Dream or Donate independence</t>
  </si>
  <si>
    <t xml:space="preserve">Digital nomad/travel podcast</t>
  </si>
  <si>
    <t xml:space="preserve">Dan Andrews / Morgan</t>
  </si>
  <si>
    <t xml:space="preserve">morgan@tropicalmba.com</t>
  </si>
  <si>
    <t xml:space="preserve">Search snippet (tropicalmba.com)</t>
  </si>
  <si>
    <t xml:space="preserve">Guest pitch: Dutch producer — Dream or Donate model, no label, scripture-based psytrance from Tenerife</t>
  </si>
  <si>
    <t xml:space="preserve">Location-independent music business; Dream or Donate economics; minimum viable creative infrastructure</t>
  </si>
  <si>
    <t xml:space="preserve">Location-independent entrepreneurship podcast</t>
  </si>
  <si>
    <t xml:space="preserve">Deviate with Rolf Potts</t>
  </si>
  <si>
    <t xml:space="preserve">Rolf Potts</t>
  </si>
  <si>
    <t xml:space="preserve">deviate@rolfpotts.com</t>
  </si>
  <si>
    <t xml:space="preserve">Search snippet (rolfpotts.com)</t>
  </si>
  <si>
    <t xml:space="preserve">Guest pitch: Dutch DJ — Tenerife not as escape but as necessity, scripture, rebuilding from zero</t>
  </si>
  <si>
    <t xml:space="preserve">Travel philosophy; place as encounter not escape; what necessity-driven location change reveals</t>
  </si>
  <si>
    <t xml:space="preserve">Travel philosophy/vagabonding podcast</t>
  </si>
  <si>
    <t xml:space="preserve">World Nomads Podcast</t>
  </si>
  <si>
    <t xml:space="preserve">Kim Napier / Phil Sylvester</t>
  </si>
  <si>
    <t xml:space="preserve">podcast@worldnomads.com</t>
  </si>
  <si>
    <t xml:space="preserve">Search snippet (worldnomads.com)</t>
  </si>
  <si>
    <t xml:space="preserve">Real travel story; place giving what you don't choose it for; Dream or Donate from island base</t>
  </si>
  <si>
    <t xml:space="preserve">Travel/nomad podcast</t>
  </si>
  <si>
    <t xml:space="preserve">Expat Podcast Netherlands</t>
  </si>
  <si>
    <t xml:space="preserve">Michel Daenen</t>
  </si>
  <si>
    <t xml:space="preserve">contact@yourmovetothenetherlands.nl</t>
  </si>
  <si>
    <t xml:space="preserve">Search snippet (yourmovetothenetherlands.nl)</t>
  </si>
  <si>
    <t xml:space="preserve">Gastvoorstel: Nederlandse DJ die alles verloor en een muziekcarrière opbouwde op Tenerife</t>
  </si>
  <si>
    <t xml:space="preserve">Nederlander die emigreerde uit noodzaak; reversed expat story; Tenerife als creatieve ruimte</t>
  </si>
  <si>
    <t xml:space="preserve">Dutch expat/Netherlands podcast; Dutch-language pitch</t>
  </si>
  <si>
    <t xml:space="preserve">The Futur Podcast</t>
  </si>
  <si>
    <t xml:space="preserve">Chris Do</t>
  </si>
  <si>
    <t xml:space="preserve">support@thefutur.com</t>
  </si>
  <si>
    <t xml:space="preserve">Search snippet (thefutur.com)</t>
  </si>
  <si>
    <t xml:space="preserve">Guest pitch: Dutch producer — scripture as creative system, AI voice-to-instrument, Dream or Donate</t>
  </si>
  <si>
    <t xml:space="preserve">First-principles creative system; constraint as engine; no borrowed frameworks or defaults</t>
  </si>
  <si>
    <t xml:space="preserve">Design/creative business podcast; Chris Do</t>
  </si>
  <si>
    <t xml:space="preserve">Side Hustle School</t>
  </si>
  <si>
    <t xml:space="preserve">Chris Guillebeau</t>
  </si>
  <si>
    <t xml:space="preserve">team@sidehustleschool.com</t>
  </si>
  <si>
    <t xml:space="preserve">Search snippet (sidehustleschool.com)</t>
  </si>
  <si>
    <t xml:space="preserve">Story pitch: Dutch DJ built Dream or Donate from a Tenerife apartment — no label, no streaming</t>
  </si>
  <si>
    <t xml:space="preserve">Dream or Donate built from necessity not strategy; pay-what-you-want dynamics; one person one island</t>
  </si>
  <si>
    <t xml:space="preserve">Daily side hustle stories podcast</t>
  </si>
  <si>
    <t xml:space="preserve">The Accidental Creative</t>
  </si>
  <si>
    <t xml:space="preserve">Todd Henry</t>
  </si>
  <si>
    <t xml:space="preserve">contact@toddhenry.com</t>
  </si>
  <si>
    <t xml:space="preserve">Search snippet (toddhenry.com)</t>
  </si>
  <si>
    <t xml:space="preserve">Guest pitch: Dutch producer — scripture as creative constraint, AI voice-to-instrument, Dream or Donate</t>
  </si>
  <si>
    <t xml:space="preserve">Constraint as engine; first-principles creative system; no borrowed frameworks</t>
  </si>
  <si>
    <t xml:space="preserve">Creativity/productivity podcast</t>
  </si>
  <si>
    <t xml:space="preserve">Love + Radio</t>
  </si>
  <si>
    <t xml:space="preserve">Nick van der Kolk</t>
  </si>
  <si>
    <t xml:space="preserve">nick@loveandradio.org</t>
  </si>
  <si>
    <t xml:space="preserve">Search snippet (loveandradio.org)</t>
  </si>
  <si>
    <t xml:space="preserve">Story pitch: a Dutch man in Tenerife, making psytrance from Bible verses, by himself</t>
  </si>
  <si>
    <t xml:space="preserve">Intimate documentary audio; unusual relationship with ancient text; Tenerife necessity</t>
  </si>
  <si>
    <t xml:space="preserve">Narrative audio documentary; story submission format</t>
  </si>
  <si>
    <t xml:space="preserve">Radiolab</t>
  </si>
  <si>
    <t xml:space="preserve">WNYC Studios</t>
  </si>
  <si>
    <t xml:space="preserve">~5M</t>
  </si>
  <si>
    <t xml:space="preserve">radiolab@wnyc.org</t>
  </si>
  <si>
    <t xml:space="preserve">Search snippet (radiolab.org/pitch-us)</t>
  </si>
  <si>
    <t xml:space="preserve">Story pitch: the musician who makes psytrance from Bible verses, using only his voice and AI</t>
  </si>
  <si>
    <t xml:space="preserve">What ancient text does to contemporary creative work; unlikely system unlikely outcome</t>
  </si>
  <si>
    <t xml:space="preserve">Major WNYC narrative audio; very high competition; accepts outside pitches</t>
  </si>
  <si>
    <t xml:space="preserve">Hidden Brain</t>
  </si>
  <si>
    <t xml:space="preserve">Shankar Vedantam</t>
  </si>
  <si>
    <t xml:space="preserve">ideas@hiddenbrain.org</t>
  </si>
  <si>
    <t xml:space="preserve">Search snippet (hiddenbrain.org/contact)</t>
  </si>
  <si>
    <t xml:space="preserve">Guest/episode pitch: Dutch DJ — what people reach for when everything collapses (and what that reveals)</t>
  </si>
  <si>
    <t xml:space="preserve">Psychology of extremis behaviour; predicted vs actual; scripture as unexpected anchor</t>
  </si>
  <si>
    <t xml:space="preserve">Major NPR psychology podcast; accepts guest pitches per search confirmation</t>
  </si>
  <si>
    <t xml:space="preserve">THEOTIVITY</t>
  </si>
  <si>
    <t xml:space="preserve">Thaddeus Maharaj</t>
  </si>
  <si>
    <t xml:space="preserve">theotivity@gmail.com</t>
  </si>
  <si>
    <t xml:space="preserve">Search snippet (theotivity.com)</t>
  </si>
  <si>
    <t xml:space="preserve">Guest pitch: psytrance from Bible verses — where theology meets electronic music production</t>
  </si>
  <si>
    <t xml:space="preserve">Theology + creativity intersection; AI voice manipulation as creative/theological act; what does ancient text do to modern music?</t>
  </si>
  <si>
    <t xml:space="preserve">Theology, creativity &amp; culture podcast — direct fit for Bible verse production method</t>
  </si>
  <si>
    <t xml:space="preserve">Come Back Podcast</t>
  </si>
  <si>
    <t xml:space="preserve">info.comebackpodcast@gmail.com</t>
  </si>
  <si>
    <t xml:space="preserve">Guest pitch: lost everything, found scripture, built something strange and new in Tenerife</t>
  </si>
  <si>
    <t xml:space="preserve">Faith-based comeback; lost business, moved to Tenerife, discovered Bible as creative foundation, busking to Dream or Donate</t>
  </si>
  <si>
    <t xml:space="preserve">Different from 'The Come Back Podcast' — faith comeback focus, Ashly Stone host</t>
  </si>
  <si>
    <t xml:space="preserve">SlothBoogie Podcast</t>
  </si>
  <si>
    <t xml:space="preserve">Patrick (SlothBoogie)</t>
  </si>
  <si>
    <t xml:space="preserve">patrick@slothboogie.com</t>
  </si>
  <si>
    <t xml:space="preserve">Search snippet (slothboogie.com)</t>
  </si>
  <si>
    <t xml:space="preserve">Guest mix / interview pitch: Dutch psytrance producer — AI vocals from Bible verses</t>
  </si>
  <si>
    <t xml:space="preserve">Underground electronic platform; guest mixes + Radioshow interviews; unique production method angle</t>
  </si>
  <si>
    <t xml:space="preserve">Underground London electronic crew; RadioShow does interviews every 2 weeks</t>
  </si>
  <si>
    <t xml:space="preserve">The Dutch Mentor</t>
  </si>
  <si>
    <t xml:space="preserve">Walter Dusseldorp</t>
  </si>
  <si>
    <t xml:space="preserve">thedutchmentor@gmail.com</t>
  </si>
  <si>
    <t xml:space="preserve">Gastpitch: Nederlandse DJ die psytrance maakt van Bijbelverzen via AI — van faillissement naar Tenerife</t>
  </si>
  <si>
    <t xml:space="preserve">Dutch personal transformation; loss to Tenerife to Dream or Donate; transformation story in Dutch language</t>
  </si>
  <si>
    <t xml:space="preserve">Dutch-language daily transformation podcast; pitched in Dutch</t>
  </si>
  <si>
    <t xml:space="preserve">Your Creative Push</t>
  </si>
  <si>
    <t xml:space="preserve">Youngman Brown</t>
  </si>
  <si>
    <t xml:space="preserve">youngman@yourcreativepush.com</t>
  </si>
  <si>
    <t xml:space="preserve">Search snippet (yourcreativepush.com)</t>
  </si>
  <si>
    <t xml:space="preserve">Guest pitch: Dutch DJ who builds psytrance from Bible verses using AI — the constraint that makes it work</t>
  </si>
  <si>
    <t xml:space="preserve">Bible verse as creative constraint; constraint removes arbitrary decisions; busking €750/hr as proof of concept</t>
  </si>
  <si>
    <t xml:space="preserve">Creativity podcast; constraint-as-engine angle</t>
  </si>
  <si>
    <t xml:space="preserve">Good Life Project</t>
  </si>
  <si>
    <t xml:space="preserve">Jonathan Fields</t>
  </si>
  <si>
    <t xml:space="preserve">stephanie@jonathanfields.com</t>
  </si>
  <si>
    <t xml:space="preserve">Search snippet (goodlifeproject.com)</t>
  </si>
  <si>
    <t xml:space="preserve">Guest pitch for Good Life Project: Dutch DJ in Tenerife — making psytrance from Bible verses when everything else was gone</t>
  </si>
  <si>
    <t xml:space="preserve">What do you reach for when constructed life collapses; rebuilding from nothing; scripture as unexpected foundation</t>
  </si>
  <si>
    <t xml:space="preserve">Large personal development show; Jonathan Fields; authentic life-building theme</t>
  </si>
  <si>
    <t xml:space="preserve">Snap Judgment</t>
  </si>
  <si>
    <t xml:space="preserve">Glynn Washington</t>
  </si>
  <si>
    <t xml:space="preserve">pitches@snapjudgment.org</t>
  </si>
  <si>
    <t xml:space="preserve">Search snippet (snapjudgment.org/pitches)</t>
  </si>
  <si>
    <t xml:space="preserve">Story pitch: the Dutch DJ making psytrance from Bible verses on the streets of Tenerife</t>
  </si>
  <si>
    <t xml:space="preserve">Story of reaching for ancient text when nothing is left; strangers stopping to listen; €750/hr busking peak; what works vs what's expected</t>
  </si>
  <si>
    <t xml:space="preserve">NPR/WNYC narrative storytelling; story submission format; high competition</t>
  </si>
  <si>
    <t xml:space="preserve">Inspirerend Leven</t>
  </si>
  <si>
    <t xml:space="preserve">Redactie team</t>
  </si>
  <si>
    <t xml:space="preserve">redactie@inspirerendleven.nl</t>
  </si>
  <si>
    <t xml:space="preserve">Search snippet (inspirerendleven.nl)</t>
  </si>
  <si>
    <t xml:space="preserve">Gastpitch: Nederlandse DJ maakt psytrance van Bijbelverzen met AI — vanuit Tenerife</t>
  </si>
  <si>
    <t xml:space="preserve">Verlies als doorgang; Bijbel als creatief fundament; €750/uur straatmuzikant; Dream or Donate platform</t>
  </si>
  <si>
    <t xml:space="preserve">Dutch self-development/wellness magazine podcast; pitched in Dutch</t>
  </si>
  <si>
    <t xml:space="preserve">Find Your Light</t>
  </si>
  <si>
    <t xml:space="preserve">Search snippet (findyourlight.nl)</t>
  </si>
  <si>
    <t xml:space="preserve">Gastpitch: psytrance maken van Bijbelverzen — hoe verlies me naar iets heel anders leidde</t>
  </si>
  <si>
    <t xml:space="preserve">Spirituele groei via verlies; Bijbel als creatieve basis; AI vocalen naar instrumenten; Dutch-language pitch</t>
  </si>
  <si>
    <t xml:space="preserve">Dutch spirituality podcast; pitched in Dutch</t>
  </si>
  <si>
    <t xml:space="preserve">Ilvy's Podcast</t>
  </si>
  <si>
    <t xml:space="preserve">Ilvy van Grunsven</t>
  </si>
  <si>
    <t xml:space="preserve">Info@ilvyvangrunsven.nl</t>
  </si>
  <si>
    <t xml:space="preserve">Search snippet (ilvyvangrunsven.nl)</t>
  </si>
  <si>
    <t xml:space="preserve">Gastpitch: Nederlandse DJ op Tenerife — psytrance van Bijbelverzen via AI, bewustzijn via verlies</t>
  </si>
  <si>
    <t xml:space="preserve">Bewustzijn via verlies; Bijbel als thuiskomen; AI vocalen; Dutch spiritual development audience</t>
  </si>
  <si>
    <t xml:space="preserve">domain appeared down at send time; same email, retry manually</t>
  </si>
  <si>
    <t xml:space="preserve">De Nieuwe Wereld</t>
  </si>
  <si>
    <t xml:space="preserve">redactie@denieuwewereld.tv</t>
  </si>
  <si>
    <t xml:space="preserve">Search snippet (denieuwewereld.tv)</t>
  </si>
  <si>
    <t xml:space="preserve">Gastpitch: Nederlandse DJ maakt psytrance van Bijbelverzen — geloof, technologie en straatkunst in Tenerife</t>
  </si>
  <si>
    <t xml:space="preserve">Geloof in hedendaagse creativiteit; AI en artistieke authenticiteit; buiten kerkelijke en muziekindustrie kaders</t>
  </si>
  <si>
    <t xml:space="preserve">Dutch in-depth conversations on social topics; pitched in Dutch</t>
  </si>
  <si>
    <t xml:space="preserve">Afford Anything</t>
  </si>
  <si>
    <t xml:space="preserve">Paula Pant</t>
  </si>
  <si>
    <t xml:space="preserve">media@affordanything.com</t>
  </si>
  <si>
    <t xml:space="preserve">Search snippet (affordanything.com/contact)</t>
  </si>
  <si>
    <t xml:space="preserve">Guest pitch: Dutch DJ earning €750/hr busking with Bible-verse psytrance — an unconventional income story</t>
  </si>
  <si>
    <t xml:space="preserve">Direct-to-audience income model; busking as proof of value; Dream or Donate; no algorithm mediating exchange</t>
  </si>
  <si>
    <t xml:space="preserve">Personal finance podcast; money angle on unconventional artist income; media@ may be PR contact</t>
  </si>
  <si>
    <t xml:space="preserve">Lavendaire Lifestyle</t>
  </si>
  <si>
    <t xml:space="preserve">Aileen Xu</t>
  </si>
  <si>
    <t xml:space="preserve">sara@lavendaire.com</t>
  </si>
  <si>
    <t xml:space="preserve">Search snippet (lavendaire.com/contact)</t>
  </si>
  <si>
    <t xml:space="preserve">Guest pitch: Dutch producer in Tenerife — designing a life built from Bible verses, AI, and psytrance</t>
  </si>
  <si>
    <t xml:space="preserve">Intentional life design; biblical constraint as clarity engine; losing everything to find direction; Dream or Donate</t>
  </si>
  <si>
    <t xml:space="preserve">Personal growth/lifestyle show; Sara is team contact</t>
  </si>
  <si>
    <t xml:space="preserve">The Mindset Mentor</t>
  </si>
  <si>
    <t xml:space="preserve">Rob Dial</t>
  </si>
  <si>
    <t xml:space="preserve">info@robdial.com</t>
  </si>
  <si>
    <t xml:space="preserve">Search snippet (robdial.com/contact)</t>
  </si>
  <si>
    <t xml:space="preserve">Guest pitch: Dutch DJ — the mindset shift that only happens when everything collapses</t>
  </si>
  <si>
    <t xml:space="preserve">Real change after structural collapse; what shows up in the empty space; courage to follow unexpected path</t>
  </si>
  <si>
    <t xml:space="preserve">Large personal development podcast</t>
  </si>
  <si>
    <t xml:space="preserve">Being Boss</t>
  </si>
  <si>
    <t xml:space="preserve">Emily Thompson</t>
  </si>
  <si>
    <t xml:space="preserve">hello@beingboss.club</t>
  </si>
  <si>
    <t xml:space="preserve">Search snippet (beingboss.club/press)</t>
  </si>
  <si>
    <t xml:space="preserve">Guest pitch: building a creative business on Bible verses, AI production, and direct-to-fan payments</t>
  </si>
  <si>
    <t xml:space="preserve">Direct-to-fan model; no label/streaming infrastructure; busking as market signal; Dream or Donate philosophy</t>
  </si>
  <si>
    <t xml:space="preserve">Creative entrepreneur podcast; mechanics of sustaining creative practice</t>
  </si>
  <si>
    <t xml:space="preserve">The Prayer Podcast</t>
  </si>
  <si>
    <t xml:space="preserve">theprayerpodcast@gmail.com</t>
  </si>
  <si>
    <t xml:space="preserve">Search snippet (theprayerpodcast.fm/contact)</t>
  </si>
  <si>
    <t xml:space="preserve">Guest pitch: Dutch DJ who makes psytrance from Bible verses — what it sounds like when Scripture becomes music</t>
  </si>
  <si>
    <t xml:space="preserve">Process as prayer; attentive engagement with Scripture; ancient text becomes contemporary sound outside traditional religious context</t>
  </si>
  <si>
    <t xml:space="preserve">Christian prayer podcast; Scripture-engagement angle</t>
  </si>
  <si>
    <t xml:space="preserve">Living with Purpose</t>
  </si>
  <si>
    <t xml:space="preserve">Simone Denny</t>
  </si>
  <si>
    <t xml:space="preserve">simone@simonedenny.me</t>
  </si>
  <si>
    <t xml:space="preserve">Search snippet (simonedenny.me)</t>
  </si>
  <si>
    <t xml:space="preserve">Guest pitch: Dutch DJ in Tenerife — finding purpose in Bible-verse psytrance after losing everything</t>
  </si>
  <si>
    <t xml:space="preserve">Purpose found by running out of options; Bible and music still there; not found by looking but by paying attention</t>
  </si>
  <si>
    <t xml:space="preserve">Purpose/personal development podcast</t>
  </si>
  <si>
    <t xml:space="preserve">Truth's Table</t>
  </si>
  <si>
    <t xml:space="preserve">Christina Edmondson / Ekemini Uwan</t>
  </si>
  <si>
    <t xml:space="preserve">asktruthstable@gmail.com</t>
  </si>
  <si>
    <t xml:space="preserve">Search snippet (Muck Rack)</t>
  </si>
  <si>
    <t xml:space="preserve">Guest pitch: a Dutch DJ making psytrance from Bible verses — Scripture outside the sanctuary</t>
  </si>
  <si>
    <t xml:space="preserve">Scripture outside institutional Christianity; Bible as creative foundation after collapse; music as unusual engagement with the Word</t>
  </si>
  <si>
    <t xml:space="preserve">Black Christian voices podcast; theology/culture; note — specific audience demographic, may not fit</t>
  </si>
  <si>
    <t xml:space="preserve">The Art of Hustle</t>
  </si>
  <si>
    <t xml:space="preserve">Gary Nelson Jr</t>
  </si>
  <si>
    <t xml:space="preserve">Legacyco19@gmail.com</t>
  </si>
  <si>
    <t xml:space="preserve">Search snippet (podcast directory)</t>
  </si>
  <si>
    <t xml:space="preserve">Guest pitch: Dutch DJ — the hustle of building something real from scratch in Tenerife</t>
  </si>
  <si>
    <t xml:space="preserve">Zero to €750/hr busking; no marketing just music quality; Dream or Donate built from nothing; street performance as market test</t>
  </si>
  <si>
    <t xml:space="preserve">Entrepreneurship/motivation podcast</t>
  </si>
  <si>
    <t xml:space="preserve">Liminal Universe Podcast</t>
  </si>
  <si>
    <t xml:space="preserve">liminaluniversepodcast@gmail.com</t>
  </si>
  <si>
    <t xml:space="preserve">Search snippet (Spotify creators)</t>
  </si>
  <si>
    <t xml:space="preserve">Guest pitch: the liminal space between Scripture and psytrance — a Dutch DJ in Tenerife</t>
  </si>
  <si>
    <t xml:space="preserve">In-between state of collapse and creation; music as liminal art; neither worship nor secular; Scripture + psytrance threshold</t>
  </si>
  <si>
    <t xml:space="preserve">Liminal spaces/atmospheric podcast; strong thematic alignment</t>
  </si>
  <si>
    <t xml:space="preserve">At the Table with Patrick Lencioni</t>
  </si>
  <si>
    <t xml:space="preserve">Patrick Lencioni</t>
  </si>
  <si>
    <t xml:space="preserve">podcast@tablegroup.com</t>
  </si>
  <si>
    <t xml:space="preserve">Search snippet (tablegroup.com)</t>
  </si>
  <si>
    <t xml:space="preserve">Guest pitch: unconventional creative leadership — building a music business from Scripture and AI after complete failure</t>
  </si>
  <si>
    <t xml:space="preserve">Constraint as clarity engine; removing intermediaries between creator and audience; purpose-led work; organisational health in creative practice</t>
  </si>
  <si>
    <t xml:space="preserve">Leadership/organisational health podcast; Table Group</t>
  </si>
  <si>
    <t xml:space="preserve">Decoded Magazine Radio</t>
  </si>
  <si>
    <t xml:space="preserve">Daz Pearson</t>
  </si>
  <si>
    <t xml:space="preserve">daz@decodedmagazine.com</t>
  </si>
  <si>
    <t xml:space="preserve">Search snippet (decodedmagazine.com/contact)</t>
  </si>
  <si>
    <t xml:space="preserve">Guest pitch: Dutch psytrance producer using AI vocals built from Bible verses — Decoded Radio</t>
  </si>
  <si>
    <t xml:space="preserve">Production methodology; AI as transformation layer not generator; voice-to-instrument workflow; unique source material</t>
  </si>
  <si>
    <t xml:space="preserve">Electronic music media podcast; production-focused angle</t>
  </si>
  <si>
    <t xml:space="preserve">Magnetic Magazine Podcast</t>
  </si>
  <si>
    <t xml:space="preserve">Will (Magnetic Mag)</t>
  </si>
  <si>
    <t xml:space="preserve">Will@MagneticMag.com</t>
  </si>
  <si>
    <t xml:space="preserve">Search snippet (magneticmag.com/contact)</t>
  </si>
  <si>
    <t xml:space="preserve">Guest pitch: Dutch producer — AI voice-to-instrument workflow, Bible verse source material, psytrance output</t>
  </si>
  <si>
    <t xml:space="preserve">AI as translation step not creative replacement; technical workflow distinction; genre innovation</t>
  </si>
  <si>
    <t xml:space="preserve">Electronic music industry magazine podcast</t>
  </si>
  <si>
    <t xml:space="preserve">Attack Magazine Podcast</t>
  </si>
  <si>
    <t xml:space="preserve">Editor</t>
  </si>
  <si>
    <t xml:space="preserve">~40K</t>
  </si>
  <si>
    <t xml:space="preserve">editor@attackmagazine.com</t>
  </si>
  <si>
    <t xml:space="preserve">Search snippet (attackmagazine.com)</t>
  </si>
  <si>
    <t xml:space="preserve">Interview pitch: Dutch producer — singing Bible verses into AI, building psytrance from nothing but voice and Scripture</t>
  </si>
  <si>
    <t xml:space="preserve">Voice-only source material; AI compositional workflow; genre + production technique angle</t>
  </si>
  <si>
    <t xml:space="preserve">Electronic music production magazine; technical interview angle</t>
  </si>
  <si>
    <t xml:space="preserve">Mere Fidelity</t>
  </si>
  <si>
    <t xml:space="preserve">Multiple hosts</t>
  </si>
  <si>
    <t xml:space="preserve">merefidelitypod@gmail.com</t>
  </si>
  <si>
    <t xml:space="preserve">Search snippet (merefidelity.com)</t>
  </si>
  <si>
    <t xml:space="preserve">Guest pitch: psytrance made from Bible verses — what does serious engagement with Scripture look like outside the church?</t>
  </si>
  <si>
    <t xml:space="preserve">Serious Scripture engagement outside institutional Christianity; sound as exegesis; faith without church context</t>
  </si>
  <si>
    <t xml:space="preserve">Reformed/Anglican theology and culture podcast</t>
  </si>
  <si>
    <t xml:space="preserve">Mockingbird Podcast</t>
  </si>
  <si>
    <t xml:space="preserve">David Zahl / Team</t>
  </si>
  <si>
    <t xml:space="preserve">info@mbird.com</t>
  </si>
  <si>
    <t xml:space="preserve">Search snippet (mbird.com/contact)</t>
  </si>
  <si>
    <t xml:space="preserve">Guest pitch: psytrance from Bible verses — grace, law, and the dancefloor</t>
  </si>
  <si>
    <t xml:space="preserve">Lament psalms transmit emotional register; text available through emptiness; grace story; Mockingbird framing</t>
  </si>
  <si>
    <t xml:space="preserve">Faith/arts/culture; law and grace angle; theology of failure</t>
  </si>
  <si>
    <t xml:space="preserve">The Praxis Podcast</t>
  </si>
  <si>
    <t xml:space="preserve">Andy Crouch</t>
  </si>
  <si>
    <t xml:space="preserve">andy@praxis.co</t>
  </si>
  <si>
    <t xml:space="preserve">Search snippet (podcast.praxis.co)</t>
  </si>
  <si>
    <t xml:space="preserve">Guest pitch: tech, creativity, and Scripture — a Dutch producer building psytrance from Bible verses using AI</t>
  </si>
  <si>
    <t xml:space="preserve">AI as transformation layer not invention; creative faithfulness via constraint; ancient text + modern tech</t>
  </si>
  <si>
    <t xml:space="preserve">Faith, tech, and creativity; Andy Crouch; tech and human flourishing</t>
  </si>
  <si>
    <t xml:space="preserve">Christian Mysticism Podcast</t>
  </si>
  <si>
    <t xml:space="preserve">christianmysticismpodcast@gmail.com</t>
  </si>
  <si>
    <t xml:space="preserve">Guest pitch: psytrance from Bible verses — an unexpected encounter with contemplative depth in electronic music</t>
  </si>
  <si>
    <t xml:space="preserve">Contemplative process of sitting with text; kenosis/emptying as precondition; mystical tradition without seminary background</t>
  </si>
  <si>
    <t xml:space="preserve">Christian mysticism/contemplative spirituality podcast</t>
  </si>
  <si>
    <t xml:space="preserve">The Sacred Podcast</t>
  </si>
  <si>
    <t xml:space="preserve">thesacredpodcast@gmail.com</t>
  </si>
  <si>
    <t xml:space="preserve">Search snippet (Spotify)</t>
  </si>
  <si>
    <t xml:space="preserve">Guest pitch: Dutch DJ building psytrance from Bible verses — the sacred in an unexpected form</t>
  </si>
  <si>
    <t xml:space="preserve">Sacred process outside expected context; text resists rushing; emptiness revealed scripture; sacred in unexpected place</t>
  </si>
  <si>
    <t xml:space="preserve">Christian spirituality podcast</t>
  </si>
  <si>
    <t xml:space="preserve">The Artist's Guide to Business</t>
  </si>
  <si>
    <t xml:space="preserve">hello@theartistsguidetobusiness.com</t>
  </si>
  <si>
    <t xml:space="preserve">Search snippet (theartistsguidetobusiness.com)</t>
  </si>
  <si>
    <t xml:space="preserve">Guest pitch: Dutch musician — building a business from Bible-verse psytrance, AI production, and direct-to-fan payments</t>
  </si>
  <si>
    <t xml:space="preserve">No label/streaming/algorithm; busking as market test; Dream or Donate as business model; direct artist-audience relationship</t>
  </si>
  <si>
    <t xml:space="preserve">Music business/artist development podcast</t>
  </si>
  <si>
    <t xml:space="preserve">The Busker's Guide to the Galaxy</t>
  </si>
  <si>
    <t xml:space="preserve">Jenny Rebecca</t>
  </si>
  <si>
    <t xml:space="preserve">mail@jennyrebecca.com</t>
  </si>
  <si>
    <t xml:space="preserve">Search snippet (jennyrebecca.com)</t>
  </si>
  <si>
    <t xml:space="preserve">Guest pitch: Dutch busker in Tenerife — psytrance from Bible verses, €750/hr peak, and what the street teaches you</t>
  </si>
  <si>
    <t xml:space="preserve">€750/hr busking peak; street as market; no intermediary between artist and reaction; Dream or Donate as online busking model</t>
  </si>
  <si>
    <t xml:space="preserve">Busking/street performance podcast</t>
  </si>
  <si>
    <t xml:space="preserve">The Jordan Harbinger Show</t>
  </si>
  <si>
    <t xml:space="preserve">Jordan Harbinger</t>
  </si>
  <si>
    <t xml:space="preserve">jordan@jordanharbinger.com</t>
  </si>
  <si>
    <t xml:space="preserve">Search snippet (jordanharbinger.com/contact)</t>
  </si>
  <si>
    <t xml:space="preserve">Guest pitch: Dutch DJ — making psytrance from Bible verses with AI, €750/hr busking, direct-payment platform</t>
  </si>
  <si>
    <t xml:space="preserve">3 angles: value mechanics (€750/hr from strangers); constraint system (Scripture as source); direct business model (Dream or Donate)</t>
  </si>
  <si>
    <t xml:space="preserve">Major interview/self-development show; strong multi-angle pitch</t>
  </si>
  <si>
    <t xml:space="preserve">Slam FM</t>
  </si>
  <si>
    <t xml:space="preserve">Various hosts</t>
  </si>
  <si>
    <t xml:space="preserve">info@slamfm.nl</t>
  </si>
  <si>
    <t xml:space="preserve">Search snippet (slam.nl)</t>
  </si>
  <si>
    <t xml:space="preserve">Artiestpitch: Nederlandse DJ maakt psytrance van Bijbelverzen via AI — vanuit Tenerife</t>
  </si>
  <si>
    <t xml:space="preserve">Nederlandse DJ met onverwachte aanpak; psytrance van Bijbelverzen; AI productie; Dream or Donate</t>
  </si>
  <si>
    <t xml:space="preserve">Major Dutch electronic music radio station; radio/podcast feature pitch in Dutch</t>
  </si>
  <si>
    <t xml:space="preserve">Things Unseen / Sheridan Voysey</t>
  </si>
  <si>
    <t xml:space="preserve">Sheridan Voysey</t>
  </si>
  <si>
    <t xml:space="preserve">email@sheridanvoysey.com</t>
  </si>
  <si>
    <t xml:space="preserve">Search snippet (sheridanvoysey.com)</t>
  </si>
  <si>
    <t xml:space="preserve">Guest pitch: Dutch DJ making psytrance from Bible verses — creativity, faith, and what emerges from the empty place</t>
  </si>
  <si>
    <t xml:space="preserve">Faith after loss; creativity from the empty place; text available through stripping; kenosis/renewal narrative</t>
  </si>
  <si>
    <t xml:space="preserve">Faith/creativity broadcaster; author; UK-based</t>
  </si>
  <si>
    <t xml:space="preserve">Hi-Phi Nation</t>
  </si>
  <si>
    <t xml:space="preserve">Barry Lam</t>
  </si>
  <si>
    <t xml:space="preserve">~80K</t>
  </si>
  <si>
    <t xml:space="preserve">hiphination@slate.com</t>
  </si>
  <si>
    <t xml:space="preserve">Search snippet (hiphination.org)</t>
  </si>
  <si>
    <t xml:space="preserve">Guest pitch: a Dutch DJ making psytrance from Bible verses — authorship, AI, and the philosophy of transformation</t>
  </si>
  <si>
    <t xml:space="preserve">3 philosophy threads: authorship with AI; text transformation vs interpretation; aesthetic value via busking €750/hr signal</t>
  </si>
  <si>
    <t xml:space="preserve">Philosophy podcast on Slate; uses real-world cases for philosophical inquiry</t>
  </si>
  <si>
    <t xml:space="preserve">The Partially Examined Life</t>
  </si>
  <si>
    <t xml:space="preserve">Wes Alwan</t>
  </si>
  <si>
    <t xml:space="preserve">wes@partiallyexaminedlife.com</t>
  </si>
  <si>
    <t xml:space="preserve">Search snippet (partiallyexaminedlife.com)</t>
  </si>
  <si>
    <t xml:space="preserve">Guest pitch: psytrance from Bible verses via AI — questions about authorship, sacred text, and what music does to meaning</t>
  </si>
  <si>
    <t xml:space="preserve">Relationship between text and transformation; AI authorship at compositional level; music carrying sacred text without audible words</t>
  </si>
  <si>
    <t xml:space="preserve">Philosophy podcast; academic/semi-academic format</t>
  </si>
  <si>
    <t xml:space="preserve">Diary of a CEO</t>
  </si>
  <si>
    <t xml:space="preserve">Steven Bartlett</t>
  </si>
  <si>
    <t xml:space="preserve">bookings@stevenbartlett.com</t>
  </si>
  <si>
    <t xml:space="preserve">Search snippet (stevenbartlett.com/enquiries)</t>
  </si>
  <si>
    <t xml:space="preserve">Guest pitch: Dutch DJ — from business failure to €750/hr busking to AI-produced Bible-verse psytrance in Tenerife</t>
  </si>
  <si>
    <t xml:space="preserve">Real reset anatomy; €750/hr busking as value data point; Dream or Donate as business model; what you find when nothing is left to protect</t>
  </si>
  <si>
    <t xml:space="preserve">Massive show; high competition; very strong story fit</t>
  </si>
  <si>
    <t xml:space="preserve">De Standaard Podcast</t>
  </si>
  <si>
    <t xml:space="preserve">Redactie</t>
  </si>
  <si>
    <t xml:space="preserve">dspodcast@standaard.be</t>
  </si>
  <si>
    <t xml:space="preserve">Search snippet (standaard.be)</t>
  </si>
  <si>
    <t xml:space="preserve">Gastpitch: Nederlandse DJ maakt psytrance van Bijbelverzen — geloof, AI en straatmuziek in Tenerife</t>
  </si>
  <si>
    <t xml:space="preserve">AI en auteursschap; geloof buiten kerkelijke kaders; alternatieve muziekeconomie; Nederlandse expat in Tenerife</t>
  </si>
  <si>
    <t xml:space="preserve">Flemish quality newspaper podcast; pitched in Dutch</t>
  </si>
  <si>
    <t xml:space="preserve">De Morgen Podcast</t>
  </si>
  <si>
    <t xml:space="preserve">podcasts@demorgen.be</t>
  </si>
  <si>
    <t xml:space="preserve">Search snippet (demorgen.be)</t>
  </si>
  <si>
    <t xml:space="preserve">Gastpitch: Nederlandse DJ die psytrance maakt van Bijbelverzen via AI — vanuit Tenerife</t>
  </si>
  <si>
    <t xml:space="preserve">AI als creatief instrument; spiritualiteit buiten kerk; directe kunstenaarseconomie; onverwacht levensverhaal</t>
  </si>
  <si>
    <t xml:space="preserve">Flemish progressive newspaper podcast; pitched in Dutch</t>
  </si>
  <si>
    <t xml:space="preserve">El Espejo Canario</t>
  </si>
  <si>
    <t xml:space="preserve">Redacción</t>
  </si>
  <si>
    <t xml:space="preserve">contacto@elespejocanario.es</t>
  </si>
  <si>
    <t xml:space="preserve">Search snippet (elespejocanario.es)</t>
  </si>
  <si>
    <t xml:space="preserve">Propuesta de entrevista: DJ holandés en Tenerife — psytrance de versículos bíblicos con inteligencia artificial</t>
  </si>
  <si>
    <t xml:space="preserve">Inmigrante europeo en Tenerife con historia creativa inusual; músico callejero €750/hr; IA y música sagrada; Dream or Donate</t>
  </si>
  <si>
    <t xml:space="preserve">Canary Islands news/culture media; pitched in Spanish</t>
  </si>
  <si>
    <t xml:space="preserve">Entrepreneurs Unplugged</t>
  </si>
  <si>
    <t xml:space="preserve">Bro Radio</t>
  </si>
  <si>
    <t xml:space="preserve">unplugged@broradio.fm</t>
  </si>
  <si>
    <t xml:space="preserve">Search snippet (broradio.fm)</t>
  </si>
  <si>
    <t xml:space="preserve">Guest pitch: Dutch entrepreneur — rebuilt from zero in Tenerife with Bible-verse psytrance and a direct-payment platform</t>
  </si>
  <si>
    <t xml:space="preserve">Real rebuilding from zero; street as market test; Dream or Donate direct model; no infrastructure entrepreneurship</t>
  </si>
  <si>
    <t xml:space="preserve">Entrepreneurship podcast</t>
  </si>
  <si>
    <t xml:space="preserve">Fortunately with Fi and Jane</t>
  </si>
  <si>
    <t xml:space="preserve">Fi Glover &amp; Jane Garvey</t>
  </si>
  <si>
    <t xml:space="preserve">fortunately.podcast@bbc.co.uk</t>
  </si>
  <si>
    <t xml:space="preserve">Search snippet (BBC Radio 4 / Global Player)</t>
  </si>
  <si>
    <t xml:space="preserve">Guest pitch: Dutch DJ in Tenerife — making psytrance from Bible verses after losing everything</t>
  </si>
  <si>
    <t xml:space="preserve">Fortunately framing: losing everything revealed the thing that fits; not plan B but something genuinely better</t>
  </si>
  <si>
    <t xml:space="preserve">BBC Radio 4 podcast; Fi Glover &amp; Jane Garvey; uplifting personal narrative format</t>
  </si>
  <si>
    <t xml:space="preserve">Griefcast</t>
  </si>
  <si>
    <t xml:space="preserve">Cariad Lloyd</t>
  </si>
  <si>
    <t xml:space="preserve">~150K</t>
  </si>
  <si>
    <t xml:space="preserve">thegriefcast@gmail.com</t>
  </si>
  <si>
    <t xml:space="preserve">Search snippet (cariadlloyd.com/griefcast)</t>
  </si>
  <si>
    <t xml:space="preserve">Guest pitch: Dutch DJ — on losing a business, a life, and what you find in the aftermath</t>
  </si>
  <si>
    <t xml:space="preserve">Grief for a life not a person; loss of future lived toward; empty space as arrival point; not fully processed</t>
  </si>
  <si>
    <t xml:space="preserve">UK comedy/grief podcast; non-bereavement grief angle</t>
  </si>
  <si>
    <t xml:space="preserve">Heavyweight</t>
  </si>
  <si>
    <t xml:space="preserve">Jonathan Goldstein</t>
  </si>
  <si>
    <t xml:space="preserve">heavyweight@pushkin.fm</t>
  </si>
  <si>
    <t xml:space="preserve">Search snippet (pushkin.fm/podcasts/heavyweight)</t>
  </si>
  <si>
    <t xml:space="preserve">Story pitch: the Dutch DJ who found his life's work on the streets of Tenerife — after it all fell apart</t>
  </si>
  <si>
    <t xml:space="preserve">Weight of old life alongside new; €750/hr busking; grief for who you thought you'd become; story submission format</t>
  </si>
  <si>
    <t xml:space="preserve">Pushkin Productions; Jonathan Goldstein; story-driven investigative personal narratives</t>
  </si>
  <si>
    <t xml:space="preserve">The Ground Up Show</t>
  </si>
  <si>
    <t xml:space="preserve">Matt D'Avella</t>
  </si>
  <si>
    <t xml:space="preserve">hello@mattdavella.com</t>
  </si>
  <si>
    <t xml:space="preserve">Search snippet (mattdavella.com/podcast)</t>
  </si>
  <si>
    <t xml:space="preserve">Guest pitch: Dutch producer — building psytrance from Bible verses with AI, from the streets of Tenerife up</t>
  </si>
  <si>
    <t xml:space="preserve">Deliberate life building from zero; Scripture constraint system; €750/hr busking economics; Dream or Donate platform</t>
  </si>
  <si>
    <t xml:space="preserve">hello@mattdavella.com bounced; show rebranded to 'Three Rules'; no alt email found</t>
  </si>
  <si>
    <t xml:space="preserve">The One You Feed</t>
  </si>
  <si>
    <t xml:space="preserve">Eric Zimmer</t>
  </si>
  <si>
    <t xml:space="preserve">guest@oneyoufeed.net</t>
  </si>
  <si>
    <t xml:space="preserve">Search snippet (oneyoufeed.net)</t>
  </si>
  <si>
    <t xml:space="preserve">Guest pitch: Dutch DJ — choosing what to feed when everything else falls away</t>
  </si>
  <si>
    <t xml:space="preserve">Which wolf to feed when the old life collapses; Scripture as anchor; creative practice as daily choice; Dream or Donate</t>
  </si>
  <si>
    <t xml:space="preserve">Personal growth podcast; feeding the right wolf framing</t>
  </si>
  <si>
    <t xml:space="preserve">The Ezra Klein Show</t>
  </si>
  <si>
    <t xml:space="preserve">Ezra Klein</t>
  </si>
  <si>
    <t xml:space="preserve">~2M</t>
  </si>
  <si>
    <t xml:space="preserve">ezrakleinshow@nytimes.com</t>
  </si>
  <si>
    <t xml:space="preserve">Search snippet (nytimes.com/podcasts)</t>
  </si>
  <si>
    <t xml:space="preserve">Guest pitch: what a Dutch DJ making psytrance from Bible verses reveals about AI, creativity, and sacred text</t>
  </si>
  <si>
    <t xml:space="preserve">AI as transformation not generation; sacred text in secular creative practice; unusual case study for ideas podcast</t>
  </si>
  <si>
    <t xml:space="preserve">NYT podcast; ideas/politics; very high competition; AI and creativity angle</t>
  </si>
  <si>
    <t xml:space="preserve">Ologies with Alie Ward</t>
  </si>
  <si>
    <t xml:space="preserve">Alie Ward</t>
  </si>
  <si>
    <t xml:space="preserve">helloalieward@gmail.com</t>
  </si>
  <si>
    <t xml:space="preserve">Search snippet (alieward.com/contact)</t>
  </si>
  <si>
    <t xml:space="preserve">Guest pitch: the practice of making psytrance from Bible verses using AI — an unusual intersection for Ologies</t>
  </si>
  <si>
    <t xml:space="preserve">Intersection of music psychology, AI ethics, acoustics, applied scriptural hermeneutics; what is the -ology of this practice?</t>
  </si>
  <si>
    <t xml:space="preserve">Science/specialty podcast; unique format covering unusual practices</t>
  </si>
  <si>
    <t xml:space="preserve">Honestly with Bari Weiss</t>
  </si>
  <si>
    <t xml:space="preserve">Bari Weiss</t>
  </si>
  <si>
    <t xml:space="preserve">tips@honestlypod.com</t>
  </si>
  <si>
    <t xml:space="preserve">Search snippet (honestlypod.com)</t>
  </si>
  <si>
    <t xml:space="preserve">Guest pitch: Dutch DJ in Tenerife making psytrance from Bible verses — the kind of life that doesn't fit a category</t>
  </si>
  <si>
    <t xml:space="preserve">Doesn't fit category — not religious conservative, not progressive Christian; takes Bible seriously outside expected box</t>
  </si>
  <si>
    <t xml:space="preserve">Cultural commentary/news podcast; Free Press network</t>
  </si>
  <si>
    <t xml:space="preserve">The Music &amp; Theory Podcast</t>
  </si>
  <si>
    <t xml:space="preserve">Stephen &amp; Mike</t>
  </si>
  <si>
    <t xml:space="preserve">musicandtheorypodcast@gmail.com</t>
  </si>
  <si>
    <t xml:space="preserve">Guest pitch: making psytrance entirely from Bible verses via AI vocal transformation — theory and practice</t>
  </si>
  <si>
    <t xml:space="preserve">AI as transformation layer; vocal source for all elements; Scripture as compositional constraint; music theory angle</t>
  </si>
  <si>
    <t xml:space="preserve">Music education/theory podcast</t>
  </si>
  <si>
    <t xml:space="preserve">The Living Church Podcast</t>
  </si>
  <si>
    <t xml:space="preserve">Amber Noel</t>
  </si>
  <si>
    <t xml:space="preserve">ambernoel@livingchurch.org</t>
  </si>
  <si>
    <t xml:space="preserve">Search snippet (livingchurch.org)</t>
  </si>
  <si>
    <t xml:space="preserve">Guest pitch: Dutch DJ making psytrance from Bible verses — Scripture engagement outside the sanctuary</t>
  </si>
  <si>
    <t xml:space="preserve">Scripture as creative foundation outside institutional church; unusual engagement with text; music as non-verbal exegesis</t>
  </si>
  <si>
    <t xml:space="preserve">Episcopal church podcast; faith and culture</t>
  </si>
  <si>
    <t xml:space="preserve">Secret Leaders</t>
  </si>
  <si>
    <t xml:space="preserve">Dan Murray-Serter &amp; Chris Donnelly</t>
  </si>
  <si>
    <t xml:space="preserve">will@secretleaders.com</t>
  </si>
  <si>
    <t xml:space="preserve">Search snippet (secretleaders.com/contact)</t>
  </si>
  <si>
    <t xml:space="preserve">Guest pitch: Dutch DJ — the business failure, the streets of Tenerife, and building something real from nothing</t>
  </si>
  <si>
    <t xml:space="preserve">Hidden story of real failure and rebuild; €750/hr busking as data; Dream or Donate model; quality vs revenue insight from street</t>
  </si>
  <si>
    <t xml:space="preserve">Bounced – Redrafted to will@secretleaders.com</t>
  </si>
  <si>
    <t xml:space="preserve">BBC World Service Outlook</t>
  </si>
  <si>
    <t xml:space="preserve">Various producers</t>
  </si>
  <si>
    <t xml:space="preserve">Global/large</t>
  </si>
  <si>
    <t xml:space="preserve">outlook@bbc.com</t>
  </si>
  <si>
    <t xml:space="preserve">BBC World Service website</t>
  </si>
  <si>
    <t xml:space="preserve">Story pitch: Dutch DJ — from €750/hour on Tenerife's streets to music built on Bible verses</t>
  </si>
  <si>
    <t xml:space="preserve">BBC global personal story show; Tenerife geography; busking data point; Dream or Donate; AI vocals</t>
  </si>
  <si>
    <t xml:space="preserve">BBC World Service documentary/storytelling programme</t>
  </si>
  <si>
    <t xml:space="preserve">Soundtracking with Edith Bowman</t>
  </si>
  <si>
    <t xml:space="preserve">Edith Bowman</t>
  </si>
  <si>
    <t xml:space="preserve">info@edithbowman.com</t>
  </si>
  <si>
    <t xml:space="preserve">edithbowman.com</t>
  </si>
  <si>
    <t xml:space="preserve">Guest pitch for Soundtracking — electronic music, scripture, and starting over on an Atlantic island</t>
  </si>
  <si>
    <t xml:space="preserve">Music-as-emotional-memory format; Edith Bowman's conversational style; street busking arc; bible-rooted production</t>
  </si>
  <si>
    <t xml:space="preserve">UK film/music podcast; music soundtrack of a life format</t>
  </si>
  <si>
    <t xml:space="preserve">Buma Cultuur Podcast</t>
  </si>
  <si>
    <t xml:space="preserve">Dutch industry</t>
  </si>
  <si>
    <t xml:space="preserve">info@bumacultuur.nl</t>
  </si>
  <si>
    <t xml:space="preserve">bumacultuur.nl/contact</t>
  </si>
  <si>
    <t xml:space="preserve">Podcastgast-pitch: Nederlandse dj die bijbelverzen verwerkt in elektronische muziek</t>
  </si>
  <si>
    <t xml:space="preserve">Dutch music industry org; independent music entrepreneurship; Dream or Donate model; Tenerife expat angle; AI vocals</t>
  </si>
  <si>
    <t xml:space="preserve">Dutch music industry organisation podcast; pitched in Dutch</t>
  </si>
  <si>
    <t xml:space="preserve">VPRO Tegenlicht</t>
  </si>
  <si>
    <t xml:space="preserve">Redactie Tegenlicht</t>
  </si>
  <si>
    <t xml:space="preserve">~500K+ (NL)</t>
  </si>
  <si>
    <t xml:space="preserve">tegenlicht@vpro.nl</t>
  </si>
  <si>
    <t xml:space="preserve">tegenlicht.vpro.nl/info/contact</t>
  </si>
  <si>
    <t xml:space="preserve">Gastpitch: Nederlandse dj bouwt muziekcarrière op Tenerife vanuit bijbelteksten</t>
  </si>
  <si>
    <t xml:space="preserve">Dutch investigative documentary series; AI in music production; independent creator model; Dream or Donate; Tenerife expat</t>
  </si>
  <si>
    <t xml:space="preserve">VPRO Tegenlicht — major Dutch doc series; pitched in Dutch</t>
  </si>
  <si>
    <t xml:space="preserve">OVT / Andere Tijden (VPRO)</t>
  </si>
  <si>
    <t xml:space="preserve">Diverse redactie</t>
  </si>
  <si>
    <t xml:space="preserve">~200K (NL radio)</t>
  </si>
  <si>
    <t xml:space="preserve">ovt@vpro.nl</t>
  </si>
  <si>
    <t xml:space="preserve">vpro.nl/programmas/ovt</t>
  </si>
  <si>
    <t xml:space="preserve">Gastpitch OVT: Nederlandse muzikant herbouwt carrière op Tenerife met bijbelverzen als fundament</t>
  </si>
  <si>
    <t xml:space="preserve">VPRO history/culture radio show; faith-creativity-craftsmanship angle; Tenerife expat; Dutch music industry</t>
  </si>
  <si>
    <t xml:space="preserve">VPRO OVT radio/podcast; pitched in Dutch</t>
  </si>
  <si>
    <t xml:space="preserve">The Rich Roll Podcast</t>
  </si>
  <si>
    <t xml:space="preserve">Rich Roll</t>
  </si>
  <si>
    <t xml:space="preserve">~1M+</t>
  </si>
  <si>
    <t xml:space="preserve">info@richroll.com</t>
  </si>
  <si>
    <t xml:space="preserve">richroll.com/contact</t>
  </si>
  <si>
    <t xml:space="preserve">Guest pitch: Dutch DJ — music built on Bible verses, busking at €750/hour, and a new model for independent artistry</t>
  </si>
  <si>
    <t xml:space="preserve">Transformation/rebuilding arc; plant-based wellness adjacent; spiritual angle; busking economics data; Dream or Donate</t>
  </si>
  <si>
    <t xml:space="preserve">Major wellness/transformation podcast; ultra-athlete host</t>
  </si>
  <si>
    <t xml:space="preserve">The Creative Penn Podcast</t>
  </si>
  <si>
    <t xml:space="preserve">Joanna Penn</t>
  </si>
  <si>
    <t xml:space="preserve">joanna@TheCreativePenn.com</t>
  </si>
  <si>
    <t xml:space="preserve">thecreativepenn.com</t>
  </si>
  <si>
    <t xml:space="preserve">Guest pitch: independent music career, AI production tools, and building outside the industry</t>
  </si>
  <si>
    <t xml:space="preserve">Author/creator business angle; AI in production; independent model; Dream or Donate; primarily author audience but covers all creatives</t>
  </si>
  <si>
    <t xml:space="preserve">Author business podcast; Joanna Penn covers all creative business models including music</t>
  </si>
  <si>
    <t xml:space="preserve">The Making It Podcast</t>
  </si>
  <si>
    <t xml:space="preserve">TheMakingItPod@gmail.com</t>
  </si>
  <si>
    <t xml:space="preserve">themakingitpodcast.com</t>
  </si>
  <si>
    <t xml:space="preserve">Guest pitch: Dutch electronic musician building independently from Tenerife — AI vocals, Bible-rooted music, and direct support</t>
  </si>
  <si>
    <t xml:space="preserve">Creative career independence; AI production workflow; Dream or Donate model; rebuilding from scratch</t>
  </si>
  <si>
    <t xml:space="preserve">Creative career podcast; generic subject line used pending more show research</t>
  </si>
  <si>
    <t xml:space="preserve">Indie Hackers</t>
  </si>
  <si>
    <t xml:space="preserve">Courtland Allen</t>
  </si>
  <si>
    <t xml:space="preserve">courtland@indiehackers.com</t>
  </si>
  <si>
    <t xml:space="preserve">indiehackers.com</t>
  </si>
  <si>
    <t xml:space="preserve">Guest pitch: bootstrapped musician builds direct-support model outside the music industry</t>
  </si>
  <si>
    <t xml:space="preserve">Bootstrapped/indie model; Dream or Donate; zero intermediaries; AI production workflow; direct audience relationship</t>
  </si>
  <si>
    <t xml:space="preserve">Bootstrapped founders podcast; non-software creative business angle</t>
  </si>
  <si>
    <t xml:space="preserve">The Art of Manliness</t>
  </si>
  <si>
    <t xml:space="preserve">Brett McKay</t>
  </si>
  <si>
    <t xml:space="preserve">brett@artofmanliness.com</t>
  </si>
  <si>
    <t xml:space="preserve">artofmanliness.com</t>
  </si>
  <si>
    <t xml:space="preserve">Guest pitch for The Art of Manliness — craft, faith, and rebuilding from zero</t>
  </si>
  <si>
    <t xml:space="preserve">Craft/character/discipline angle; rebuilding after failure; faith-based creative constraints; busking economics</t>
  </si>
  <si>
    <t xml:space="preserve">Skills and virtue podcast for men; broad creative/rebuilding angle</t>
  </si>
  <si>
    <t xml:space="preserve">The Evolving Faith Podcast</t>
  </si>
  <si>
    <t xml:space="preserve">Sarah Bessey &amp; Jeff Chu</t>
  </si>
  <si>
    <t xml:space="preserve">info@evolvingfaith.com</t>
  </si>
  <si>
    <t xml:space="preserve">evolvingfaith.com/contact</t>
  </si>
  <si>
    <t xml:space="preserve">Guest pitch: Dutch electronic musician making music directly from scripture — faith, craft, and starting over</t>
  </si>
  <si>
    <t xml:space="preserve">Faith/doubt without resolution; Bible-rooted music as practice anchor; Hebrew lyrics; idiosyncratic non-denominational faith</t>
  </si>
  <si>
    <t xml:space="preserve">Progressive faith podcast; faith + doubt angle</t>
  </si>
  <si>
    <t xml:space="preserve">Dit Is De Dag (EO)</t>
  </si>
  <si>
    <t xml:space="preserve">EO Redactie</t>
  </si>
  <si>
    <t xml:space="preserve">Dutch national radio</t>
  </si>
  <si>
    <t xml:space="preserve">ditisdedag@eo.nl</t>
  </si>
  <si>
    <t xml:space="preserve">eo.nl/podcast/dit-is-de-dag</t>
  </si>
  <si>
    <t xml:space="preserve">Gastpitch: Nederlandse dj bouwt nieuw leven op Tenerife — bijbelteksten als creatief fundament</t>
  </si>
  <si>
    <t xml:space="preserve">Dutch Christian broadcaster; faith + craft + secular context; Dream or Donate; Tenerife expat rebuild</t>
  </si>
  <si>
    <t xml:space="preserve">EO Dutch Christian radio; daily debate/interview show; pitched in Dutch</t>
  </si>
  <si>
    <t xml:space="preserve">Bureau Buitenland (VPRO)</t>
  </si>
  <si>
    <t xml:space="preserve">VPRO Redactie</t>
  </si>
  <si>
    <t xml:space="preserve">bureaubuitenland@vpro.nl</t>
  </si>
  <si>
    <t xml:space="preserve">vpro.nl/programmas/bureau-buitenland</t>
  </si>
  <si>
    <t xml:space="preserve">Portretpitch: Nederlander op Tenerife — muziek vanuit bijbelteksten en een nieuw leven op de rand van Europa</t>
  </si>
  <si>
    <t xml:space="preserve">Dutch expat abroad; Tenerife as permanent home; AI production; Dream or Donate; VPRO international affairs show</t>
  </si>
  <si>
    <t xml:space="preserve">VPRO Dutch foreign affairs radio/podcast; Dutch expat angle; pitched in Dutch</t>
  </si>
  <si>
    <t xml:space="preserve">Crack Magazine</t>
  </si>
  <si>
    <t xml:space="preserve">Editorial team</t>
  </si>
  <si>
    <t xml:space="preserve">crack@crackmagazine.net</t>
  </si>
  <si>
    <t xml:space="preserve">crackmagazine.net</t>
  </si>
  <si>
    <t xml:space="preserve">Interview/feature pitch: Dutch producer on Tenerife — Bible verses, AI vocals, and making music outside the industry</t>
  </si>
  <si>
    <t xml:space="preserve">UK electronic music magazine; interview/feature format; AI production; scripture source material; Tenerife geography</t>
  </si>
  <si>
    <t xml:space="preserve">Electronic music publication with podcast; pitched as feature/interview</t>
  </si>
  <si>
    <t xml:space="preserve">FACT Magazine</t>
  </si>
  <si>
    <t xml:space="preserve">contact@factmag.com</t>
  </si>
  <si>
    <t xml:space="preserve">factmag.com/about</t>
  </si>
  <si>
    <t xml:space="preserve">Interview pitch: Dutch producer building Bible-rooted electronic music on Tenerife using AI vocals</t>
  </si>
  <si>
    <t xml:space="preserve">Electronic music publication; AI production as infrastructure; scripture replaces genre; direct support model</t>
  </si>
  <si>
    <t xml:space="preserve">Electronic music publication; pitched as feature/interview</t>
  </si>
  <si>
    <t xml:space="preserve">The Louis Theroux Podcast</t>
  </si>
  <si>
    <t xml:space="preserve">Louis Theroux</t>
  </si>
  <si>
    <t xml:space="preserve">~500K+</t>
  </si>
  <si>
    <t xml:space="preserve">general@kbjmanagement.co.uk</t>
  </si>
  <si>
    <t xml:space="preserve">kbjmanagement.co.uk</t>
  </si>
  <si>
    <t xml:space="preserve">Guest pitch for The Louis Theroux Podcast — Dutch DJ on Tenerife, Bible verses, and starting over</t>
  </si>
  <si>
    <t xml:space="preserve">Unusual premise; baffling/fascinating personal story; Bible+EDM+Tenerife busking; Louis's curiosity format</t>
  </si>
  <si>
    <t xml:space="preserve">Louis Theroux BBC podcast; unconventional personal story angle; via KBJ Management</t>
  </si>
  <si>
    <t xml:space="preserve">The Side Hustle Show</t>
  </si>
  <si>
    <t xml:space="preserve">Nick Loper</t>
  </si>
  <si>
    <t xml:space="preserve">Network+SHS@yapmedia.com</t>
  </si>
  <si>
    <t xml:space="preserve">sidehustlenation.com</t>
  </si>
  <si>
    <t xml:space="preserve">Guest pitch: Dream or Donate — a direct-support model for independent musicians</t>
  </si>
  <si>
    <t xml:space="preserve">Direct income model outside platforms; Dream or Donate mechanics; busking as proof of concept; AI production as solo infrastructure</t>
  </si>
  <si>
    <t xml:space="preserve">Different show from Side Hustle School (Chris Guillebeau, ID 176)</t>
  </si>
  <si>
    <t xml:space="preserve">The Wire Magazine</t>
  </si>
  <si>
    <t xml:space="preserve">Joe Muggs / editorial team</t>
  </si>
  <si>
    <t xml:space="preserve">joe@thewire.co.uk</t>
  </si>
  <si>
    <t xml:space="preserve">thewire.co.uk/contact</t>
  </si>
  <si>
    <t xml:space="preserve">Artist pitch: Dutch producer building electronic music from Bible verses on Tenerife — AI vocals, scripture, direct support</t>
  </si>
  <si>
    <t xml:space="preserve">Experimental/avant-garde music press; solo AI vocal manipulation; scripture as structure not aesthetics; outside genre</t>
  </si>
  <si>
    <t xml:space="preserve">UK experimental music magazine; pitched as artist feature</t>
  </si>
  <si>
    <t xml:space="preserve">The Quietus</t>
  </si>
  <si>
    <t xml:space="preserve">John Doran</t>
  </si>
  <si>
    <t xml:space="preserve">john@thequietus.com</t>
  </si>
  <si>
    <t xml:space="preserve">thequietus.com/contact</t>
  </si>
  <si>
    <t xml:space="preserve">Artist pitch: Dutch producer in Tenerife — Bible verses, AI vocal manipulation, and music outside every genre</t>
  </si>
  <si>
    <t xml:space="preserve">Alt/experimental UK music criticism; doesn't fit genre; solo production; scripture+AI+Tenerife; direct support</t>
  </si>
  <si>
    <t xml:space="preserve">UK alternative music publication; pitched to editor John Doran</t>
  </si>
  <si>
    <t xml:space="preserve">COPE Canarias</t>
  </si>
  <si>
    <t xml:space="preserve">Redacción COPE</t>
  </si>
  <si>
    <t xml:space="preserve">Canary Islands regional</t>
  </si>
  <si>
    <t xml:space="preserve">redaccion.canarias@cope.es</t>
  </si>
  <si>
    <t xml:space="preserve">cope.es/canarias</t>
  </si>
  <si>
    <t xml:space="preserve">Propuesta de entrevista: DJ holandés en Tenerife crea música electrónica basada en versículos bíblicos</t>
  </si>
  <si>
    <t xml:space="preserve">Canary Islands Catholic radio; faith+music+Tenerife; European expat angle; pitched in Spanish</t>
  </si>
  <si>
    <t xml:space="preserve">COPE Canarias regional radio; pitched in Spanish</t>
  </si>
  <si>
    <t xml:space="preserve">Cadena SER Tenerife</t>
  </si>
  <si>
    <t xml:space="preserve">Redacción SER</t>
  </si>
  <si>
    <t xml:space="preserve">informativos.tenerife@cadenaser.com</t>
  </si>
  <si>
    <t xml:space="preserve">cadenaser.com/tenerife</t>
  </si>
  <si>
    <t xml:space="preserve">Propuesta de entrevista: productor holandés en Tenerife crea música electrónica desde versículos bíblicos</t>
  </si>
  <si>
    <t xml:space="preserve">Tenerife local radio newsroom; European expat in Tenerife; music+faith+AI; available in person or remote</t>
  </si>
  <si>
    <t xml:space="preserve">Cadena SER Tenerife local radio; pitched in Spanish</t>
  </si>
  <si>
    <t xml:space="preserve">Water &amp; Music</t>
  </si>
  <si>
    <t xml:space="preserve">Cherie Hu</t>
  </si>
  <si>
    <t xml:space="preserve">~20K industry</t>
  </si>
  <si>
    <t xml:space="preserve">cherie@cheriehu.com</t>
  </si>
  <si>
    <t xml:space="preserve">cheriehu.com</t>
  </si>
  <si>
    <t xml:space="preserve">Guest pitch: Dutch producer using AI vocal manipulation as solo production infrastructure — a case study</t>
  </si>
  <si>
    <t xml:space="preserve">Music tech/AI newsletter; AI vocal manipulation as production infrastructure; Dream or Donate; case study angle</t>
  </si>
  <si>
    <t xml:space="preserve">Music business/tech newsletter-podcast; niche industry audience</t>
  </si>
  <si>
    <t xml:space="preserve">Hypebot</t>
  </si>
  <si>
    <t xml:space="preserve">~50K music industry</t>
  </si>
  <si>
    <t xml:space="preserve">editor@hypebot.com</t>
  </si>
  <si>
    <t xml:space="preserve">hypebot.com/about</t>
  </si>
  <si>
    <t xml:space="preserve">Guest/feature pitch: Dutch electronic musician using AI as solo production infrastructure — direct-support model</t>
  </si>
  <si>
    <t xml:space="preserve">Music industry blog/podcast; AI production; Dream or Donate; no platform dependence; independent model</t>
  </si>
  <si>
    <t xml:space="preserve">Music industry publication; pitched as guest post or interview</t>
  </si>
  <si>
    <t xml:space="preserve">Creator Science</t>
  </si>
  <si>
    <t xml:space="preserve">Jay Clouse</t>
  </si>
  <si>
    <t xml:space="preserve">jay@jayclouse.com</t>
  </si>
  <si>
    <t xml:space="preserve">jayclouse.com</t>
  </si>
  <si>
    <t xml:space="preserve">Guest pitch for Creator Science: building a direct-support music model outside all platforms</t>
  </si>
  <si>
    <t xml:space="preserve">Creator economy; Dream or Donate mechanics; zero platform dependence; AI as production infrastructure; direct fan support</t>
  </si>
  <si>
    <t xml:space="preserve">Creator economy podcast; music/creative income model angle</t>
  </si>
  <si>
    <t xml:space="preserve">Studio Brussel (VRT)</t>
  </si>
  <si>
    <t xml:space="preserve">Lisa Dupond (press)</t>
  </si>
  <si>
    <t xml:space="preserve">Belgian national</t>
  </si>
  <si>
    <t xml:space="preserve">lisa.dupond@vrt.be</t>
  </si>
  <si>
    <t xml:space="preserve">communicatie.studiobrussel.be</t>
  </si>
  <si>
    <t xml:space="preserve">Gastpitch Studio Brussel: Nederlandse dj op Tenerife maakt elektronische muziek vanuit bijbelverzen</t>
  </si>
  <si>
    <t xml:space="preserve">Belgian Flemish popular music radio; Dutch-language pitch; electronic music + faith + AI; VRT press contact</t>
  </si>
  <si>
    <t xml:space="preserve">Studio Brussel VRT Belgium; pitched in Dutch via press contact</t>
  </si>
  <si>
    <t xml:space="preserve">ORF Ö1 (Austria)</t>
  </si>
  <si>
    <t xml:space="preserve">Ö1 redactie</t>
  </si>
  <si>
    <t xml:space="preserve">Austrian national</t>
  </si>
  <si>
    <t xml:space="preserve">oe1.service@orf.at</t>
  </si>
  <si>
    <t xml:space="preserve">oe1.orf.at/kontakt</t>
  </si>
  <si>
    <t xml:space="preserve">Gastpitch ORF Ö1: Niederländischer DJ auf Teneriffa — Bibelverse, KI-Vocals und unabhängige Musikproduktion</t>
  </si>
  <si>
    <t xml:space="preserve">Austrian public radio; Im Gespräch interview format; Bible+AI+Tenerife; faith and craftsmanship angle; pitched in German</t>
  </si>
  <si>
    <t xml:space="preserve">ORF Ö1 Austria; pitched in German to listener service</t>
  </si>
  <si>
    <t xml:space="preserve">SRF 2 Kultur (Switzerland)</t>
  </si>
  <si>
    <t xml:space="preserve">Redaktion SRF 2</t>
  </si>
  <si>
    <t xml:space="preserve">Swiss national</t>
  </si>
  <si>
    <t xml:space="preserve">studio@srf2kultur.ch</t>
  </si>
  <si>
    <t xml:space="preserve">srf.ch/radio-srf-2-kultur</t>
  </si>
  <si>
    <t xml:space="preserve">Gastpitch SRF 2 Kultur: Elektronischer Produzent baut Musik aus Bibelversen auf einer Atlantikinsel</t>
  </si>
  <si>
    <t xml:space="preserve">Swiss German public radio culture; faith+AI+creative entrepreneurship; Tenerife expat; pitched in German</t>
  </si>
  <si>
    <t xml:space="preserve">SRF 2 Kultur Switzerland; pitched in German to studio contact</t>
  </si>
  <si>
    <t xml:space="preserve">Live Inspired with John O'Leary</t>
  </si>
  <si>
    <t xml:space="preserve">John O'Leary</t>
  </si>
  <si>
    <t xml:space="preserve">podcast@johnolearyinspires.com</t>
  </si>
  <si>
    <t xml:space="preserve">johnolearyinspires.com/podcast</t>
  </si>
  <si>
    <t xml:space="preserve">Guest pitch for Live Inspired: Dutch DJ rebuilds everything from the streets of Tenerife</t>
  </si>
  <si>
    <t xml:space="preserve">Comeback/resilience stories; busking €750/hr as turning point; Dream or Donate; Bible-rooted music discipline</t>
  </si>
  <si>
    <t xml:space="preserve">Inspiration/comeback podcast; John O'Leary burn survivor host</t>
  </si>
  <si>
    <t xml:space="preserve">Finding Mastery</t>
  </si>
  <si>
    <t xml:space="preserve">Dr. Michael Gervais</t>
  </si>
  <si>
    <t xml:space="preserve">info@findingmastery.net</t>
  </si>
  <si>
    <t xml:space="preserve">findingmastery.com</t>
  </si>
  <si>
    <t xml:space="preserve">Guest pitch for Finding Mastery: Dutch musician — craft of rebuilding, performing without a net, music from ancient texts</t>
  </si>
  <si>
    <t xml:space="preserve">Mastery/performance psychology; street busking as unmediated feedback; Bible verse constraints; AI production; direct support</t>
  </si>
  <si>
    <t xml:space="preserve">Performance psychology podcast; elite performers and practitioners</t>
  </si>
  <si>
    <t xml:space="preserve">Theology in the Raw</t>
  </si>
  <si>
    <t xml:space="preserve">Preston Sprinkle</t>
  </si>
  <si>
    <t xml:space="preserve">chris@prestonsprinkle.com</t>
  </si>
  <si>
    <t xml:space="preserve">prestonsprinkle.com/podcast</t>
  </si>
  <si>
    <t xml:space="preserve">Guest pitch for Theology in the Raw: Dutch DJ making electronic music from Bible verses on Tenerife</t>
  </si>
  <si>
    <t xml:space="preserve">Theology + culture; unaffiliated/non-denominational faith; scripture as structural method; Hebrew lyrics; outside church</t>
  </si>
  <si>
    <t xml:space="preserve">Theology and culture podcast; Preston Sprinkle host</t>
  </si>
  <si>
    <t xml:space="preserve">Made to Flourish</t>
  </si>
  <si>
    <t xml:space="preserve">Made to Flourish team</t>
  </si>
  <si>
    <t xml:space="preserve">~30K faith/work community</t>
  </si>
  <si>
    <t xml:space="preserve">info@madetoflourish.org</t>
  </si>
  <si>
    <t xml:space="preserve">madetoflourish.org/contact</t>
  </si>
  <si>
    <t xml:space="preserve">Guest pitch: Dutch musician's faith-rooted creative vocation and direct-support model outside the music industry</t>
  </si>
  <si>
    <t xml:space="preserve">Faith and work integration; Dream or Donate as faith-rooted business model; creative vocation; institutional independence</t>
  </si>
  <si>
    <t xml:space="preserve">Faith and work network podcast</t>
  </si>
  <si>
    <t xml:space="preserve">loveandradio.org/about-2</t>
  </si>
  <si>
    <t xml:space="preserve">Story pitch for Love + Radio — Dutch DJ, the street, and music built from ancient texts on an Atlantic island</t>
  </si>
  <si>
    <t xml:space="preserve">Immersive narrative storytelling; Tenerife busking as image; €750/hr; faith without denomination; Dream or Donate; strange + beautiful</t>
  </si>
  <si>
    <t xml:space="preserve">Narrative audio storytelling; Nick van der Kolk; personal pitch for immersive episode</t>
  </si>
  <si>
    <t xml:space="preserve">Location Indie</t>
  </si>
  <si>
    <t xml:space="preserve">Travis Sherry &amp; Jason Moore</t>
  </si>
  <si>
    <t xml:space="preserve">team@locationindie.com</t>
  </si>
  <si>
    <t xml:space="preserve">locationindie.com</t>
  </si>
  <si>
    <t xml:space="preserve">Guest pitch: location-independent musician on Tenerife — Dream or Donate and making music outside the industry</t>
  </si>
  <si>
    <t xml:space="preserve">Location-independent entrepreneur; Tenerife base; Dream or Donate; AI production solo workflow; nomadic creative life</t>
  </si>
  <si>
    <t xml:space="preserve">Bounced – Redrafted to team@locationindie.com</t>
  </si>
  <si>
    <t xml:space="preserve">Entrepreneurs on Fire</t>
  </si>
  <si>
    <t xml:space="preserve">John Lee Dumas</t>
  </si>
  <si>
    <t xml:space="preserve">Team@EOFire.com</t>
  </si>
  <si>
    <t xml:space="preserve">eofire.com/guest</t>
  </si>
  <si>
    <t xml:space="preserve">Guest pitch: Dutch DJ building Dream or Donate — direct music income model with no platforms, no label</t>
  </si>
  <si>
    <t xml:space="preserve">High-volume entrepreneurship podcast; Dream or Donate mechanics; busking as proof of concept; AI production infrastructure</t>
  </si>
  <si>
    <t xml:space="preserve">Very high volume podcast; JLD interviews entrepreneurs; applied via team email</t>
  </si>
  <si>
    <t xml:space="preserve">Zomergasten (VPRO)</t>
  </si>
  <si>
    <t xml:space="preserve">Redactie Zomergasten</t>
  </si>
  <si>
    <t xml:space="preserve">~600K (NL prestige TV)</t>
  </si>
  <si>
    <t xml:space="preserve">redactieZG@vpro.nl</t>
  </si>
  <si>
    <t xml:space="preserve">vpro.nl/zomergasten/colofon</t>
  </si>
  <si>
    <t xml:space="preserve">Gastpitch Zomergasten: Nederlandse dj op Tenerife bouwt muziek vanuit bijbelverzen</t>
  </si>
  <si>
    <t xml:space="preserve">Prestige VPRO Dutch interview programme; acknowledged long shot; unusual cultural perspective; faith+AI+rebuild</t>
  </si>
  <si>
    <t xml:space="preserve">VPRO's most prestigious guest interview programme; ambitious pitch; in Dutch</t>
  </si>
  <si>
    <t xml:space="preserve">NPO Radio 2</t>
  </si>
  <si>
    <t xml:space="preserve">Redactie NPO Radio 2</t>
  </si>
  <si>
    <t xml:space="preserve">~1M (NL mainstream)</t>
  </si>
  <si>
    <t xml:space="preserve">info@radio2.nl</t>
  </si>
  <si>
    <t xml:space="preserve">nporadio2.nl/contact</t>
  </si>
  <si>
    <t xml:space="preserve">Gastpitch NPO Radio 2: Nederlandse dj op Tenerife maakt bijbelverzen-gebaseerde elektronische muziek</t>
  </si>
  <si>
    <t xml:space="preserve">Dutch mainstream music radio; Dutch artist abroad angle; faith+AI production; Dream or Donate</t>
  </si>
  <si>
    <t xml:space="preserve">NPO Radio 2 Dutch mainstream radio; in Dutch</t>
  </si>
  <si>
    <t xml:space="preserve">College Tour Podcast (Leiden)</t>
  </si>
  <si>
    <t xml:space="preserve">Twan Huys / Leiden Univ.</t>
  </si>
  <si>
    <t xml:space="preserve">Dutch national student audience</t>
  </si>
  <si>
    <t xml:space="preserve">Collegetourdepodcast@hum.leidenuniv.nl</t>
  </si>
  <si>
    <t xml:space="preserve">hum.leidenuniv.nl</t>
  </si>
  <si>
    <t xml:space="preserve">Gastpitch College Tour Podcast: Nederlandse dj herbouwt carrière op Tenerife met bijbelverzen en AI</t>
  </si>
  <si>
    <t xml:space="preserve">Dutch youth/student audience; non-conventional career path; tech+faith+rebuilding angle; Leiden University podcast</t>
  </si>
  <si>
    <t xml:space="preserve">College Tour podcast version via Leiden University; in Dutch</t>
  </si>
  <si>
    <t xml:space="preserve">What Got You There</t>
  </si>
  <si>
    <t xml:space="preserve">Sean DeLaney</t>
  </si>
  <si>
    <t xml:space="preserve">Info@whatgotyouthere.com</t>
  </si>
  <si>
    <t xml:space="preserve">whatgotyouthere.com</t>
  </si>
  <si>
    <t xml:space="preserve">Guest pitch for What Got You There: Dutch DJ rebuilds from collapse to €750/hr busking to independent music model</t>
  </si>
  <si>
    <t xml:space="preserve">High performer origin stories; busking as signal finding; Dream or Donate; Bible verse constraint system; craft discipline</t>
  </si>
  <si>
    <t xml:space="preserve">High performance origin stories podcast</t>
  </si>
  <si>
    <t xml:space="preserve">My Favorite Mistake</t>
  </si>
  <si>
    <t xml:space="preserve">Mark Graban</t>
  </si>
  <si>
    <t xml:space="preserve">myfavoritemistakepodcast@gmail.com</t>
  </si>
  <si>
    <t xml:space="preserve">markgraban.com/my-favorite-mistake</t>
  </si>
  <si>
    <t xml:space="preserve">Guest pitch: Dutch musician — the mistake of building a career on borrowed infrastructure</t>
  </si>
  <si>
    <t xml:space="preserve">Business mistake and learning; borrowed infrastructure vs owned foundation; Dream or Donate as owned model; busking rebuild</t>
  </si>
  <si>
    <t xml:space="preserve">Business mistake/learning podcast</t>
  </si>
  <si>
    <t xml:space="preserve">Cyber PR Music Podcast</t>
  </si>
  <si>
    <t xml:space="preserve">Ariel Hyatt</t>
  </si>
  <si>
    <t xml:space="preserve">~30K music industry</t>
  </si>
  <si>
    <t xml:space="preserve">ariel@cyberpr.com</t>
  </si>
  <si>
    <t xml:space="preserve">cyberprmusic.com/contact</t>
  </si>
  <si>
    <t xml:space="preserve">Guest pitch: AI vocal manipulation as solo production infrastructure — Dream or Donate model</t>
  </si>
  <si>
    <t xml:space="preserve">Music digital marketing; AI production as solo infrastructure; Dream or Donate; platform-free model; Tenerife base</t>
  </si>
  <si>
    <t xml:space="preserve">Music digital marketing podcast by Ariel Hyatt</t>
  </si>
  <si>
    <t xml:space="preserve">The Savvy Musician Show</t>
  </si>
  <si>
    <t xml:space="preserve">Leah McHenry / CJ Ortiz</t>
  </si>
  <si>
    <t xml:space="preserve">success@savvymusicianacademy.com</t>
  </si>
  <si>
    <t xml:space="preserve">savvymusicianacademy.com</t>
  </si>
  <si>
    <t xml:space="preserve">Guest pitch: building Dream or Donate — direct music income with no label, no streaming, no platform dependence</t>
  </si>
  <si>
    <t xml:space="preserve">Independent musician business; Dream or Donate mechanics; AI solo production; busking proof of concept; platform-free</t>
  </si>
  <si>
    <t xml:space="preserve">Savvy Musician Academy podcast; independent musician business education</t>
  </si>
  <si>
    <t xml:space="preserve">Broken Record</t>
  </si>
  <si>
    <t xml:space="preserve">Rick Rubin / Malcolm Gladwell</t>
  </si>
  <si>
    <t xml:space="preserve">info@pushkin.fm</t>
  </si>
  <si>
    <t xml:space="preserve">pushkin.fm/podcasts/broken-record</t>
  </si>
  <si>
    <t xml:space="preserve">Guest pitch for Broken Record: Dutch producer building electronic music from Bible verses with AI</t>
  </si>
  <si>
    <t xml:space="preserve">Rick Rubin creative process focus; Bible as source not genre; AI as constraint tool; craft/source/constraint conversation</t>
  </si>
  <si>
    <t xml:space="preserve">Pushkin Industries; Rick Rubin + Malcolm Gladwell music podcast; major pitch</t>
  </si>
  <si>
    <t xml:space="preserve">Tune Into Leadership</t>
  </si>
  <si>
    <t xml:space="preserve">Greg Thomas &amp; Jewel Kinch-Thomas</t>
  </si>
  <si>
    <t xml:space="preserve">blog@tuneintoleadership.com</t>
  </si>
  <si>
    <t xml:space="preserve">tuneintoleadership.com</t>
  </si>
  <si>
    <t xml:space="preserve">Guest pitch: Dutch musician on Tenerife — creative leadership, Bible-rooted constraints, and building outside the industry</t>
  </si>
  <si>
    <t xml:space="preserve">Jazz+leadership podcast; creative constraint as leadership decision; solo decision-making; Dream or Donate; AI workflow</t>
  </si>
  <si>
    <t xml:space="preserve">Leadership through music lens podcast</t>
  </si>
  <si>
    <t xml:space="preserve">KEXP</t>
  </si>
  <si>
    <t xml:space="preserve">Music Director team</t>
  </si>
  <si>
    <t xml:space="preserve">md@kexp.org</t>
  </si>
  <si>
    <t xml:space="preserve">kexp.org/about/submission-guidelines</t>
  </si>
  <si>
    <t xml:space="preserve">Artist pitch: Dutch electronic producer on Tenerife — Bible verses, AI vocal manipulation, and music outside genre</t>
  </si>
  <si>
    <t xml:space="preserve">Beloved indie music radio Seattle; electronic+ancient source; AI solo production; outside genre; Atlantic island geography</t>
  </si>
  <si>
    <t xml:space="preserve">KEXP Seattle beloved indie/music radio; music director pitch</t>
  </si>
  <si>
    <t xml:space="preserve">The Line of Best Fit</t>
  </si>
  <si>
    <t xml:space="preserve">hello@thelineofbestfit.com</t>
  </si>
  <si>
    <t xml:space="preserve">thelineofbestfit.com/contact</t>
  </si>
  <si>
    <t xml:space="preserve">Artist pitch: Dutch electronic producer on Tenerife — Bible verses, AI vocal manipulation, music outside every genre</t>
  </si>
  <si>
    <t xml:space="preserve">UK music publication; doesn't fit genre; solo AI production; ancient source material; Atlantic island; Dream or Donate</t>
  </si>
  <si>
    <t xml:space="preserve">UK indie music publication; pitched as artist feature</t>
  </si>
  <si>
    <t xml:space="preserve">Consequence of Sound</t>
  </si>
  <si>
    <t xml:space="preserve">Ben Kaye / Editorial</t>
  </si>
  <si>
    <t xml:space="preserve">submissions@consequence.net</t>
  </si>
  <si>
    <t xml:space="preserve">consequence.net/contact-us</t>
  </si>
  <si>
    <t xml:space="preserve">Artist pitch: Dutch electronic producer — Bible verses, AI vocal instruments, and music from Tenerife</t>
  </si>
  <si>
    <t xml:space="preserve">US music publication/podcast; Bible verse source; AI vocal instruments; solo production; Tenerife geography</t>
  </si>
  <si>
    <t xml:space="preserve">US music publication with podcast; pitched as artist feature/coverage</t>
  </si>
  <si>
    <t xml:space="preserve">NRK P3</t>
  </si>
  <si>
    <t xml:space="preserve">Editorial / Music team</t>
  </si>
  <si>
    <t xml:space="preserve">p3@nrk.no</t>
  </si>
  <si>
    <t xml:space="preserve">nrk.no/p3</t>
  </si>
  <si>
    <t xml:space="preserve">Artist pitch: Dutch electronic producer on Tenerife — Bible verses, AI vocals, and music that defies genre</t>
  </si>
  <si>
    <t xml:space="preserve">Norwegian national public radio youth/music channel; outside genre; AI vocal manipulation; ancient source; €750/hr busking backstory; Dream or Donate</t>
  </si>
  <si>
    <t xml:space="preserve">NRK P3 Norwegian public radio; pitched as artist feature/story</t>
  </si>
  <si>
    <t xml:space="preserve">DR P3</t>
  </si>
  <si>
    <t xml:space="preserve">p3musik@dr.dk</t>
  </si>
  <si>
    <t xml:space="preserve">dr.dk/p3</t>
  </si>
  <si>
    <t xml:space="preserve">Artist pitch: Dutch electronic producer on Tenerife — Bible verses, AI vocal instruments, music outside every genre</t>
  </si>
  <si>
    <t xml:space="preserve">Danish national public radio music channel; outside genre; AI vocal instruments; ancient source; €750/hr busking story; Dream or Donate</t>
  </si>
  <si>
    <t xml:space="preserve">DR P3 Danish public radio; pitched as artist feature/story</t>
  </si>
  <si>
    <t xml:space="preserve">The Liturgists Podcast</t>
  </si>
  <si>
    <t xml:space="preserve">Michael Gungor / Science Mike</t>
  </si>
  <si>
    <t xml:space="preserve">admin@theliturgists.com</t>
  </si>
  <si>
    <t xml:space="preserve">theliturgists.com</t>
  </si>
  <si>
    <t xml:space="preserve">Guest pitch: Dutch DJ/producer — Bible text, AI vocal instruments, and creative faith outside any genre</t>
  </si>
  <si>
    <t xml:space="preserve">Faith, science, art crossover; ancient text as creative anchor; AI vocal instruments; solo Atlantic island production; raw creative faith</t>
  </si>
  <si>
    <t xml:space="preserve">Faith/art/science community; pitched as creative faith conversation</t>
  </si>
  <si>
    <t xml:space="preserve">The Deconstructionists</t>
  </si>
  <si>
    <t xml:space="preserve">Andrew Arndt / John Williamson</t>
  </si>
  <si>
    <t xml:space="preserve">deconstructionistspodcast@gmail.com</t>
  </si>
  <si>
    <t xml:space="preserve">thedeconstructionists.org</t>
  </si>
  <si>
    <t xml:space="preserve">Guest pitch: Dutch producer, Bible verses, and making music that doesn't fit anywhere</t>
  </si>
  <si>
    <t xml:space="preserve">Faith deconstruction community; still drawn to ancient texts; no institution; Amsterdam busking backstory; honest music from Tenerife</t>
  </si>
  <si>
    <t xml:space="preserve">Faith deconstruction podcast; pitched as someone still with sacred material but outside any container</t>
  </si>
  <si>
    <t xml:space="preserve">Nomad Podcast UK</t>
  </si>
  <si>
    <t xml:space="preserve">David Benjamin Blower / Tim Nash</t>
  </si>
  <si>
    <t xml:space="preserve">hello@nomadpodcast.co.uk</t>
  </si>
  <si>
    <t xml:space="preserve">nomadpodcast.co.uk</t>
  </si>
  <si>
    <t xml:space="preserve">Guest pitch: Dutch producer on Tenerife — Bible texts, AI vocals, and creative faith without a container</t>
  </si>
  <si>
    <t xml:space="preserve">UK progressive faith podcast; staying with sacred material without institution; Dream or Donate; AI vocal instruments; Atlantic island</t>
  </si>
  <si>
    <t xml:space="preserve">Progressive UK faith podcast; pitched creative faith angle</t>
  </si>
  <si>
    <t xml:space="preserve">indiehitmaker</t>
  </si>
  <si>
    <t xml:space="preserve">Andrew Apanov</t>
  </si>
  <si>
    <t xml:space="preserve">artists@indiehitmaker.com</t>
  </si>
  <si>
    <t xml:space="preserve">indiehitmaker.com</t>
  </si>
  <si>
    <t xml:space="preserve">Artist feature pitch: Dutch electronic producer — Bible verses, AI vocal instruments, direct-to-fan model</t>
  </si>
  <si>
    <t xml:space="preserve">Indie music career podcast; AI-as-instrument production; Dream or Donate direct platform; solo production; unconventional source material</t>
  </si>
  <si>
    <t xml:space="preserve">Indie music career show; pitched AI production + direct distribution model</t>
  </si>
  <si>
    <t xml:space="preserve">The Expat Files</t>
  </si>
  <si>
    <t xml:space="preserve">John Mueller</t>
  </si>
  <si>
    <t xml:space="preserve">theexpatfiles@gmail.com</t>
  </si>
  <si>
    <t xml:space="preserve">theexpatfiles.com</t>
  </si>
  <si>
    <t xml:space="preserve">Guest pitch: Dutch DJ/producer in Tenerife — Bible verses, AI vocal instruments, and life outside the Netherlands</t>
  </si>
  <si>
    <t xml:space="preserve">Expat lifestyle show; Amsterdam to Tenerife relocation; €750/hr busking backstory; solo creative rebuild abroad; Dream or Donate</t>
  </si>
  <si>
    <t xml:space="preserve">Long-running expat lifestyle podcast; pitched relocation + creative rebuild angle</t>
  </si>
  <si>
    <t xml:space="preserve">Canary Islands: History and Customs</t>
  </si>
  <si>
    <t xml:space="preserve">Podcast team</t>
  </si>
  <si>
    <t xml:space="preserve">canaryislands.podcast@gmail.com</t>
  </si>
  <si>
    <t xml:space="preserve">WebSearch result</t>
  </si>
  <si>
    <t xml:space="preserve">Guest pitch: Dutch DJ/producer living in Tenerife — music, AI vocals, and building a creative life on the islands</t>
  </si>
  <si>
    <t xml:space="preserve">Canary Islands specific podcast; Dutch expat in Tenerife; music production on island; Dream or Donate; creative life in Canaries</t>
  </si>
  <si>
    <t xml:space="preserve">Canary Islands local podcast; pitched as Dutch expat building creative life in Tenerife</t>
  </si>
  <si>
    <t xml:space="preserve">Build Your Tribe</t>
  </si>
  <si>
    <t xml:space="preserve">Chalene Johnson</t>
  </si>
  <si>
    <t xml:space="preserve">buildyourtribe@chalenejohnson.com</t>
  </si>
  <si>
    <t xml:space="preserve">chalene.com/podcast</t>
  </si>
  <si>
    <t xml:space="preserve">Guest pitch: Dutch producer who built a direct-to-fan music platform from scratch in Tenerife</t>
  </si>
  <si>
    <t xml:space="preserve">Tribe building; Dream or Donate direct platform; AI vocal instruments; solo production; Amsterdam busking to Tenerife rebuild</t>
  </si>
  <si>
    <t xml:space="preserve">Audience building podcast; pitched direct-to-fan Dream or Donate model</t>
  </si>
  <si>
    <t xml:space="preserve">The Professional Creative</t>
  </si>
  <si>
    <t xml:space="preserve">Bonnie Christine</t>
  </si>
  <si>
    <t xml:space="preserve">bonnie@bonniechristine.com</t>
  </si>
  <si>
    <t xml:space="preserve">professionalcreative.com</t>
  </si>
  <si>
    <t xml:space="preserve">Guest pitch: Dutch producer — AI vocal instruments, Bible verses, and building a creative business alone in Tenerife</t>
  </si>
  <si>
    <t xml:space="preserve">Professional creative podcast; AI vocals as instruments; Dream or Donate; solo Tenerife production; no map for this creative path</t>
  </si>
  <si>
    <t xml:space="preserve">Creative business podcast; pitched sustainable creative career built outside industry</t>
  </si>
  <si>
    <t xml:space="preserve">OOR Magazine</t>
  </si>
  <si>
    <t xml:space="preserve">Redactie OOR</t>
  </si>
  <si>
    <t xml:space="preserve">redactie@oor.nl</t>
  </si>
  <si>
    <t xml:space="preserve">oor.nl</t>
  </si>
  <si>
    <t xml:space="preserve">Artiestpitch: Nederlandse dj/producer op Tenerife — Bijbelverzen, AI-stemmanipulatie en muziek buiten elk genre</t>
  </si>
  <si>
    <t xml:space="preserve">Dutch music magazine; genre-defying; AI vocal manipulation; Amsterdam busking €750/hr; solo Tenerife production; Dream or Donate</t>
  </si>
  <si>
    <t xml:space="preserve">Dutch music press; pitched in Dutch as artist feature</t>
  </si>
  <si>
    <t xml:space="preserve">KINK.nl</t>
  </si>
  <si>
    <t xml:space="preserve">Redactie KINK</t>
  </si>
  <si>
    <t xml:space="preserve">info@kink.nl</t>
  </si>
  <si>
    <t xml:space="preserve">kink.nl</t>
  </si>
  <si>
    <t xml:space="preserve">Artiestpitch: Nederlandse dj/producer op Tenerife — Bijbelverzen, AI-vocalen en muziek die nergens bijhoort</t>
  </si>
  <si>
    <t xml:space="preserve">Dutch alternative radio; outside genre; AI vocal instruments; Dream or Donate; €750/hr busking; Tenerife production base</t>
  </si>
  <si>
    <t xml:space="preserve">Dutch alternative radio; pitched in Dutch</t>
  </si>
  <si>
    <t xml:space="preserve">Switched On Pop</t>
  </si>
  <si>
    <t xml:space="preserve">Charlie Harding / Nate Sloan</t>
  </si>
  <si>
    <t xml:space="preserve">booking@switchedonpop.com</t>
  </si>
  <si>
    <t xml:space="preserve">switchedonpop.com</t>
  </si>
  <si>
    <t xml:space="preserve">Guest pitch: Dutch producer using AI vocal manipulation as instrument — Bible texts, music theory, and sounds that don't exist yet</t>
  </si>
  <si>
    <t xml:space="preserve">Music theory analysis podcast; voice-as-instrument AI production; ancient text as compositional structure; music theory angle</t>
  </si>
  <si>
    <t xml:space="preserve">Music analysis podcast; pitched production theory angle of AI vocal manipulation</t>
  </si>
  <si>
    <t xml:space="preserve">In The DAW</t>
  </si>
  <si>
    <t xml:space="preserve">Wyatt Troy Christensen</t>
  </si>
  <si>
    <t xml:space="preserve">Wyatt@inthedaw.net</t>
  </si>
  <si>
    <t xml:space="preserve">inthedaw.com</t>
  </si>
  <si>
    <t xml:space="preserve">Guest pitch: Dutch producer using AI vocal manipulation as every instrument — solo production from Tenerife</t>
  </si>
  <si>
    <t xml:space="preserve">Music production podcast; voice as source for all instruments via AI; solo DAW workflow; scripture as structure; Tenerife base</t>
  </si>
  <si>
    <t xml:space="preserve">Music production podcast; pitched full AI vocal workflow as DAW technique</t>
  </si>
  <si>
    <t xml:space="preserve">Musician on a Mission</t>
  </si>
  <si>
    <t xml:space="preserve">Rob Atkinson</t>
  </si>
  <si>
    <t xml:space="preserve">support@musicianonamission.com</t>
  </si>
  <si>
    <t xml:space="preserve">musicianonamission.com</t>
  </si>
  <si>
    <t xml:space="preserve">Guest pitch: Dutch electronic producer — AI vocal instruments, Bible verses, direct-to-fan model from Tenerife</t>
  </si>
  <si>
    <t xml:space="preserve">Indie musician career podcast; AI vocal production; Dream or Donate direct model; unconventional source; solo Tenerife production</t>
  </si>
  <si>
    <t xml:space="preserve">Indie musician career podcast; pitched production + direct distribution model</t>
  </si>
  <si>
    <t xml:space="preserve">Everything Happens with Kate Bowler</t>
  </si>
  <si>
    <t xml:space="preserve">Kate Bowler / Harriet</t>
  </si>
  <si>
    <t xml:space="preserve">katebowler.com</t>
  </si>
  <si>
    <t xml:space="preserve">Guest pitch: Dutch producer on Tenerife — ancient texts, AI vocals, and making peace with uncertainty through music</t>
  </si>
  <si>
    <t xml:space="preserve">Faith and uncertainty podcast; staying with sacred texts without certainty; Amsterdam collapse to Tenerife rebuild; honest creative faith</t>
  </si>
  <si>
    <t xml:space="preserve">Lemonada Media podcast on living with uncertainty; pitched sacred text + creative doubt angle</t>
  </si>
  <si>
    <t xml:space="preserve">The Dr. John Delony Show</t>
  </si>
  <si>
    <t xml:space="preserve">Dr. John Delony</t>
  </si>
  <si>
    <t xml:space="preserve">askjohn@ramseysolutions.com</t>
  </si>
  <si>
    <t xml:space="preserve">ramseysolutions.com</t>
  </si>
  <si>
    <t xml:space="preserve">Guest pitch: Dutch producer — Bible verses, AI vocals, and rebuilding life and creative identity from scratch in Tenerife</t>
  </si>
  <si>
    <t xml:space="preserve">Ramsey Network mental health show; identity rebuild; creative + financial reinvention; €750/hr busking to Tenerife; anchoring to ancient texts</t>
  </si>
  <si>
    <t xml:space="preserve">Ramsey Network mental health/relationships show; pitched personal rebuild and identity reinvention</t>
  </si>
  <si>
    <t xml:space="preserve">The Reinvention Diaries</t>
  </si>
  <si>
    <t xml:space="preserve">Host team</t>
  </si>
  <si>
    <t xml:space="preserve">studio@thereinventiondiaries.co.uk</t>
  </si>
  <si>
    <t xml:space="preserve">thereinventiondiaries.co</t>
  </si>
  <si>
    <t xml:space="preserve">Guest pitch: Dutch DJ/producer who reinvented everything — €750/hr busking in Amsterdam to solo music production in Tenerife</t>
  </si>
  <si>
    <t xml:space="preserve">Reinvention stories podcast; complete dismantling and rebuild; €750/hr Amsterdam to Tenerife solo production; Dream or Donate new model</t>
  </si>
  <si>
    <t xml:space="preserve">Bounced – Redrafted to studio@thereinventiondiaries.co.uk</t>
  </si>
  <si>
    <t xml:space="preserve">Canarias7</t>
  </si>
  <si>
    <t xml:space="preserve">Redacción cultura/música</t>
  </si>
  <si>
    <t xml:space="preserve">Spanish/Canary Islands Media</t>
  </si>
  <si>
    <t xml:space="preserve">redaccion@canarias7.es</t>
  </si>
  <si>
    <t xml:space="preserve">canarias7.es</t>
  </si>
  <si>
    <t xml:space="preserve">Propuesta de reportaje: DJ y productor holandés en Tenerife — versículos bíblicos, vocales con IA y música que no cabe en ningún género</t>
  </si>
  <si>
    <t xml:space="preserve">Main Canary Islands newspaper; Dutch expat in Tenerife; music with AI vocals + Bible verses; Dream or Donate; €750/hr Amsterdam busking</t>
  </si>
  <si>
    <t xml:space="preserve">Canary Islands newspaper; pitched in Spanish as cultural feature</t>
  </si>
  <si>
    <t xml:space="preserve">Diario de Avisos</t>
  </si>
  <si>
    <t xml:space="preserve">redaccion@diariodeavisos.com</t>
  </si>
  <si>
    <t xml:space="preserve">diariodeavisos.elespanol.com</t>
  </si>
  <si>
    <t xml:space="preserve">Propuesta de reportaje: Productor holandés en Tenerife crea música con versículos bíblicos e IA</t>
  </si>
  <si>
    <t xml:space="preserve">Oldest Canary Islands newspaper; Dutch expat producer; AI vocal instruments; Bible verse source; Tenerife base; Dream or Donate</t>
  </si>
  <si>
    <t xml:space="preserve">Oldest Canary Islands newspaper; pitched in Spanish as artist feature</t>
  </si>
  <si>
    <t xml:space="preserve">Radio Club Tenerife (Cadena SER)</t>
  </si>
  <si>
    <t xml:space="preserve">Informativos Tenerife</t>
  </si>
  <si>
    <t xml:space="preserve">cadenaser.com</t>
  </si>
  <si>
    <t xml:space="preserve">Propuesta de entrevista: DJ y productor holandés en Tenerife — música electrónica, versículos bíblicos e inteligencia artificial</t>
  </si>
  <si>
    <t xml:space="preserve">Tenerife SER radio; Dutch expat creative; AI vocal production; Bible verses; Dream or Donate; €750/hr Amsterdam to Tenerife story</t>
  </si>
  <si>
    <t xml:space="preserve">Tenerife Cadena SER radio; pitched in Spanish for interview</t>
  </si>
  <si>
    <t xml:space="preserve">Televisión Canaria (RTVC)</t>
  </si>
  <si>
    <t xml:space="preserve">Redacción / Noticias</t>
  </si>
  <si>
    <t xml:space="preserve">tvcanaria@tvcanaria.tv</t>
  </si>
  <si>
    <t xml:space="preserve">rtvc.es</t>
  </si>
  <si>
    <t xml:space="preserve">Propuesta de reportaje: Productor y DJ holandés en Tenerife — música electrónica, versículos bíblicos e inteligencia artificial</t>
  </si>
  <si>
    <t xml:space="preserve">Canary Islands regional TV; Dutch expat in Tenerife; AI vocal production; Bible verses; Dream or Donate; €750/hr busking story</t>
  </si>
  <si>
    <t xml:space="preserve">Regional Canary Islands TV; pitched in Spanish for interview or reportaje</t>
  </si>
  <si>
    <t xml:space="preserve">Onda Cero Canarias</t>
  </si>
  <si>
    <t xml:space="preserve">Redacción Canarias</t>
  </si>
  <si>
    <t xml:space="preserve">canarias@ondacero.es</t>
  </si>
  <si>
    <t xml:space="preserve">ondacero.es</t>
  </si>
  <si>
    <t xml:space="preserve">Propuesta de entrevista: DJ holandés en Tenerife — música con versículos bíblicos, inteligencia artificial y distribución directa</t>
  </si>
  <si>
    <t xml:space="preserve">Canary Islands Onda Cero radio; Dutch expat producer; AI vocal instruments; Bible verse source; Dream or Donate; €750/hr Amsterdam story</t>
  </si>
  <si>
    <t xml:space="preserve">Onda Cero Canarias radio; pitched in Spanish for interview</t>
  </si>
  <si>
    <t xml:space="preserve">ttfa.org</t>
  </si>
  <si>
    <t xml:space="preserve">Guest pitch: Dutch producer — €750/hr busking in Amsterdam, collapse, Tenerife, and making music from Bible verses alone</t>
  </si>
  <si>
    <t xml:space="preserve">APM grief/dark emotions podcast; collapse of Amsterdam life; Tenerife rebuild; ancient texts without old certainty; hard to explain story</t>
  </si>
  <si>
    <t xml:space="preserve">American Public Media resilience podcast; pitched the hard-to-explain collapse and rebuild angle</t>
  </si>
  <si>
    <t xml:space="preserve">MNM Belgium</t>
  </si>
  <si>
    <t xml:space="preserve">Redactie MNM</t>
  </si>
  <si>
    <t xml:space="preserve">info@mnm.be</t>
  </si>
  <si>
    <t xml:space="preserve">mnm.be</t>
  </si>
  <si>
    <t xml:space="preserve">Artiestpitch: Nederlandse dj/producer op Tenerife — Bijbelverzen, AI-vocalen en muziek die nergens in past</t>
  </si>
  <si>
    <t xml:space="preserve">Belgian youth music radio VRT; genre-defying; AI vocal manipulation; Dream or Donate; €750/hr busking; Tenerife production</t>
  </si>
  <si>
    <t xml:space="preserve">Belgian VRT youth radio; pitched in Dutch/Flemish</t>
  </si>
  <si>
    <t xml:space="preserve">WDR COSMO</t>
  </si>
  <si>
    <t xml:space="preserve">Redaktion COSMO</t>
  </si>
  <si>
    <t xml:space="preserve">~400K</t>
  </si>
  <si>
    <t xml:space="preserve">cosmo@wdr.de</t>
  </si>
  <si>
    <t xml:space="preserve">wdr.de</t>
  </si>
  <si>
    <t xml:space="preserve">Künstlerpitch: Niederländischer DJ/Produzent auf Teneriffa — Bibelverse, KI-Vokalmanipulation, Musik jenseits aller Genres</t>
  </si>
  <si>
    <t xml:space="preserve">German multicultural WDR radio; genre-defying; AI vocal instruments; Bible verse source; Dream or Donate; €750/hr Amsterdam busking; Tenerife</t>
  </si>
  <si>
    <t xml:space="preserve">WDR multicultural radio; pitched in German</t>
  </si>
  <si>
    <t xml:space="preserve">FM4 (ORF Austria)</t>
  </si>
  <si>
    <t xml:space="preserve">Redaktion FM4</t>
  </si>
  <si>
    <t xml:space="preserve">fm4@orf.at</t>
  </si>
  <si>
    <t xml:space="preserve">fm4.orf.at</t>
  </si>
  <si>
    <t xml:space="preserve">Künstlerpitch: Niederländischer Produzent auf Teneriffa — Bibelverse als Kompositionsbasis, KI-Vocals als Instrumente</t>
  </si>
  <si>
    <t xml:space="preserve">Austrian public alternative radio; outside genre; AI vocal instruments; ancient Bible text; Dream or Donate; solo Tenerife production</t>
  </si>
  <si>
    <t xml:space="preserve">Austrian ORF alternative radio FM4; pitched in German</t>
  </si>
  <si>
    <t xml:space="preserve">Deutschlandfunk Nova</t>
  </si>
  <si>
    <t xml:space="preserve">Redaktion DLF Nova</t>
  </si>
  <si>
    <t xml:space="preserve">mail@deutschlandfunknova.de</t>
  </si>
  <si>
    <t xml:space="preserve">deutschlandfunknova.de</t>
  </si>
  <si>
    <t xml:space="preserve">Künstlerpitch: Niederländischer Produzent auf Teneriffa — Bibelverse, KI-Stimmmanipulation und Musik ohne Genre</t>
  </si>
  <si>
    <t xml:space="preserve">German public youth/culture radio; AI vocal manipulation; ancient text; outside genre; Dream or Donate; Tenerife solo production</t>
  </si>
  <si>
    <t xml:space="preserve">Deutschlandfunk Nova German public radio; pitched in German</t>
  </si>
  <si>
    <t xml:space="preserve">Song Exploder</t>
  </si>
  <si>
    <t xml:space="preserve">Hrishikesh Hirway</t>
  </si>
  <si>
    <t xml:space="preserve">contact@songexploder.net</t>
  </si>
  <si>
    <t xml:space="preserve">songexploder.net</t>
  </si>
  <si>
    <t xml:space="preserve">Artist submission: Dutch producer — a track built from a Bible verse, where every sound is my voice transformed by AI</t>
  </si>
  <si>
    <t xml:space="preserve">Radiotopia/Netflix; artist explains their song; AI vocal transformation; Bible verse as compositional structure; solo Tenerife production</t>
  </si>
  <si>
    <t xml:space="preserve">Radiotopia music deconstruction podcast; pitched voice-as-all-instruments process angle</t>
  </si>
  <si>
    <t xml:space="preserve">Tape Notes</t>
  </si>
  <si>
    <t xml:space="preserve">John Kennedy</t>
  </si>
  <si>
    <t xml:space="preserve">tapenotes@inthewoodsfestival.co.uk</t>
  </si>
  <si>
    <t xml:space="preserve">tapenotes.co.uk</t>
  </si>
  <si>
    <t xml:space="preserve">Guest pitch: Dutch producer — AI vocal manipulation as every instrument, Bible verses as compositional structure, solo from Tenerife</t>
  </si>
  <si>
    <t xml:space="preserve">UK music production podcast; voice-to-instrument AI workflow; ancient text as compositional constraint; solo Tenerife production</t>
  </si>
  <si>
    <t xml:space="preserve">UK music production podcast; pitched AI vocal-as-instrument production technique</t>
  </si>
  <si>
    <t xml:space="preserve">Speak Up Storytelling</t>
  </si>
  <si>
    <t xml:space="preserve">Matthew &amp; Elysha Dicks</t>
  </si>
  <si>
    <t xml:space="preserve">speakupstorytelling@gmail.com</t>
  </si>
  <si>
    <t xml:space="preserve">matthewdicks.com/speak-up</t>
  </si>
  <si>
    <t xml:space="preserve">Story pitch: Dutch DJ who earned €750/hr busking in Amsterdam, moved to Tenerife, and started making music from Bible verses alone</t>
  </si>
  <si>
    <t xml:space="preserve">Storytelling podcast; €750/hr collapse of Amsterdam life; Tenerife; ancient texts without certainty; what it feels like when something working stops making sense</t>
  </si>
  <si>
    <t xml:space="preserve">Storytelling podcast Hartford CT; pitched as personal story</t>
  </si>
  <si>
    <t xml:space="preserve">The Art of Humanity</t>
  </si>
  <si>
    <t xml:space="preserve">Jessica Ann</t>
  </si>
  <si>
    <t xml:space="preserve">hello@jessicaannmedia.com</t>
  </si>
  <si>
    <t xml:space="preserve">artofhumanity.io</t>
  </si>
  <si>
    <t xml:space="preserve">Guest pitch: Dutch producer — Bible verses as creative foundation, AI vocals as instruments, and making art from the inside of uncertainty</t>
  </si>
  <si>
    <t xml:space="preserve">Art/spirituality/creativity podcast; ancient text as anchor; AI vocal instruments; making art from uncertainty; solo Tenerife production</t>
  </si>
  <si>
    <t xml:space="preserve">Faith/art/creativity podcast; pitched creative uncertainty and ancient text as anchor</t>
  </si>
  <si>
    <t xml:space="preserve">All Songs Considered (NPR)</t>
  </si>
  <si>
    <t xml:space="preserve">Bob Boilen / Robin Hilton</t>
  </si>
  <si>
    <t xml:space="preserve">allsongs@npr.org</t>
  </si>
  <si>
    <t xml:space="preserve">npr.org</t>
  </si>
  <si>
    <t xml:space="preserve">Music submission: Dutch electronic producer on Tenerife — Bible verses, AI vocal instruments, music outside genre</t>
  </si>
  <si>
    <t xml:space="preserve">NPR music discovery show; genre-defying; AI vocal production; Bible verse source; solo Atlantic island; Dream or Donate</t>
  </si>
  <si>
    <t xml:space="preserve">NPR music show; submitted music for consideration</t>
  </si>
  <si>
    <t xml:space="preserve">The Lazy Genius Podcast</t>
  </si>
  <si>
    <t xml:space="preserve">Kendra Adachi</t>
  </si>
  <si>
    <t xml:space="preserve">hello@thelazygeniuscollective.com</t>
  </si>
  <si>
    <t xml:space="preserve">thelazygeniuscollective.com</t>
  </si>
  <si>
    <t xml:space="preserve">Guest pitch: Dutch producer — how ancient Bible verses became the system that makes solo creative work possible</t>
  </si>
  <si>
    <t xml:space="preserve">Systems/purposeful living podcast; Bible verse as creative system/constraint; AI vocal workflow; Dream or Donate; creative system built from scratch</t>
  </si>
  <si>
    <t xml:space="preserve">Lazy Genius Collective podcast; pitched creative system built around what matters</t>
  </si>
  <si>
    <t xml:space="preserve">Future Perfect (Vox)</t>
  </si>
  <si>
    <t xml:space="preserve">Vox editorial team</t>
  </si>
  <si>
    <t xml:space="preserve">futureperfect@vox.com</t>
  </si>
  <si>
    <t xml:space="preserve">vox.com</t>
  </si>
  <si>
    <t xml:space="preserve">Guest pitch: Dutch producer using AI to transform his voice into every instrument — a new model for what solo music creation can be</t>
  </si>
  <si>
    <t xml:space="preserve">Vox solutions journalism; AI as individual creative tool not industry; voice-as-all-instruments; Dream or Donate; Bible verse source; solo Tenerife</t>
  </si>
  <si>
    <t xml:space="preserve">Vox Future Perfect; pitched AI voice-as-instrument as novel individual creative model</t>
  </si>
  <si>
    <t xml:space="preserve">Pitchfork</t>
  </si>
  <si>
    <t xml:space="preserve">Mark Richardson (Editor)</t>
  </si>
  <si>
    <t xml:space="preserve">markr@pitchfork.com</t>
  </si>
  <si>
    <t xml:space="preserve">pitchfork.com</t>
  </si>
  <si>
    <t xml:space="preserve">Artist feature pitch: Dutch electronic producer on Tenerife — Bible verses, AI vocals as instruments, music with no genre</t>
  </si>
  <si>
    <t xml:space="preserve">US music publication; genre-defying; AI vocal-as-instrument; ancient Bible text; Dream or Donate; Amsterdam busking to Tenerife; unusual story</t>
  </si>
  <si>
    <t xml:space="preserve">Pitchfork US music press; pitched as artist feature to editor</t>
  </si>
  <si>
    <t xml:space="preserve">Mixmag</t>
  </si>
  <si>
    <t xml:space="preserve">Features team</t>
  </si>
  <si>
    <t xml:space="preserve">features@mixmag.net</t>
  </si>
  <si>
    <t xml:space="preserve">mixmag.net</t>
  </si>
  <si>
    <t xml:space="preserve">Artist feature pitch: Dutch producer — Bible verses, AI vocal instruments, and electronic music that defies genre from Tenerife</t>
  </si>
  <si>
    <t xml:space="preserve">UK dance/electronic magazine; outside genre; AI vocal instruments; Bible verse source; Dream or Donate; Amsterdam busking to Tenerife</t>
  </si>
  <si>
    <t xml:space="preserve">Mixmag UK dance/electronic press; pitched as artist feature</t>
  </si>
  <si>
    <t xml:space="preserve">Loud and Quiet</t>
  </si>
  <si>
    <t xml:space="preserve">contribute@loudandquiet.com</t>
  </si>
  <si>
    <t xml:space="preserve">loudandquiet.com</t>
  </si>
  <si>
    <t xml:space="preserve">Artist feature pitch: Dutch producer on Tenerife — Bible verses, AI vocal instruments, music outside every genre</t>
  </si>
  <si>
    <t xml:space="preserve">UK indie music magazine; genre-defying; AI vocal manipulation; ancient Bible text; solo Atlantic production; Amsterdam busking backstory</t>
  </si>
  <si>
    <t xml:space="preserve">UK indie music magazine; pitched as artist feature</t>
  </si>
  <si>
    <t xml:space="preserve">The Ed Mylett Show</t>
  </si>
  <si>
    <t xml:space="preserve">Ed Mylett team</t>
  </si>
  <si>
    <t xml:space="preserve">info@edmylett.com</t>
  </si>
  <si>
    <t xml:space="preserve">edmylett.com</t>
  </si>
  <si>
    <t xml:space="preserve">Guest pitch: Dutch producer who went from €750/hr busking in Amsterdam to building a completely independent creative operation in Tenerife</t>
  </si>
  <si>
    <t xml:space="preserve">Peak performance podcast; €750/hr Amsterdam busking to Tenerife rebuild; self-built AI production; Dream or Donate direct model; complete reinvention</t>
  </si>
  <si>
    <t xml:space="preserve">Ed Mylett peak performance podcast; pitched reinvention and independent creative model</t>
  </si>
  <si>
    <t xml:space="preserve">People I (Mostly) Admire</t>
  </si>
  <si>
    <t xml:space="preserve">Steve Levitt / Freakonomics</t>
  </si>
  <si>
    <t xml:space="preserve">PIMA@freakonomics.com</t>
  </si>
  <si>
    <t xml:space="preserve">freakonomics.com</t>
  </si>
  <si>
    <t xml:space="preserve">Guest pitch: Dutch electronic producer — Bible verses, AI vocal instruments, and an economic model built entirely outside the music industry</t>
  </si>
  <si>
    <t xml:space="preserve">Freakonomics economics/ideas podcast; Dream or Donate pricing experiment; busking as pure market pricing; music economics from unusual angles</t>
  </si>
  <si>
    <t xml:space="preserve">Freakonomics network economics/ideas podcast; pitched economic angle of Dream or Donate and busking</t>
  </si>
  <si>
    <t xml:space="preserve">Resident Advisor (RA)</t>
  </si>
  <si>
    <t xml:space="preserve">features@ra.co</t>
  </si>
  <si>
    <t xml:space="preserve">ra.co</t>
  </si>
  <si>
    <t xml:space="preserve">Artist feature pitch: Dutch electronic producer on Tenerife — Bible verses, AI vocal instruments, music outside every genre</t>
  </si>
  <si>
    <t xml:space="preserve">Electronic music platform; outer edge of electronic music; AI vocal-as-instrument; ancient Bible text; Dream or Donate; Tenerife geography</t>
  </si>
  <si>
    <t xml:space="preserve">RA electronic music platform; pitched as artist feature</t>
  </si>
  <si>
    <t xml:space="preserve">Soundcheck (WNYC)</t>
  </si>
  <si>
    <t xml:space="preserve">John Schaefer / team</t>
  </si>
  <si>
    <t xml:space="preserve">soundcheck@wnyc.org</t>
  </si>
  <si>
    <t xml:space="preserve">wnyc.org</t>
  </si>
  <si>
    <t xml:space="preserve">Artist pitch: Dutch electronic producer on Tenerife — Bible verses, AI vocal instruments, and music that doesn't fit any genre</t>
  </si>
  <si>
    <t xml:space="preserve">WNYC NYC music show; genre-defying; AI vocal manipulation; ancient Bible text; Dream or Donate; solo Atlantic production</t>
  </si>
  <si>
    <t xml:space="preserve">WNYC music show; pitched as artist feature/interview</t>
  </si>
  <si>
    <t xml:space="preserve">Fresh Air with Terry Gross</t>
  </si>
  <si>
    <t xml:space="preserve">Terry Gross</t>
  </si>
  <si>
    <t xml:space="preserve">~4M listeners</t>
  </si>
  <si>
    <t xml:space="preserve">freshairsociety@whyy.org</t>
  </si>
  <si>
    <t xml:space="preserve">Dutch DJ who lost everything at 30 and rebuilt from a camper van in Tenerife</t>
  </si>
  <si>
    <t xml:space="preserve">Fresh Air features remarkable human stories; RJ's blackmail, collapse, faith and rebuild arc</t>
  </si>
  <si>
    <t xml:space="preserve">NPR flagship interview show; WHYY Philadelphia</t>
  </si>
  <si>
    <t xml:space="preserve">Bullseye with Jesse Thorn</t>
  </si>
  <si>
    <t xml:space="preserve">Jesse Thorn</t>
  </si>
  <si>
    <t xml:space="preserve">~1M listeners</t>
  </si>
  <si>
    <t xml:space="preserve">pitch@maximumfun.org</t>
  </si>
  <si>
    <t xml:space="preserve">Dutch psytrance producer in Tenerife — from Bible verses to 290K followers</t>
  </si>
  <si>
    <t xml:space="preserve">Show features unexpected cultural figures; RJ's psytrance-meets-scripture angle is very Bullseye</t>
  </si>
  <si>
    <t xml:space="preserve">Maximum Fun network; public radio crossover</t>
  </si>
  <si>
    <t xml:space="preserve">Sound Opinions</t>
  </si>
  <si>
    <t xml:space="preserve">Jim DeRogatis &amp; Greg Kot</t>
  </si>
  <si>
    <t xml:space="preserve">~500K listeners</t>
  </si>
  <si>
    <t xml:space="preserve">interact@soundopinions.org</t>
  </si>
  <si>
    <t xml:space="preserve">Independent Dutch producer — 30+ tracks, zero labels, owns every master</t>
  </si>
  <si>
    <t xml:space="preserve">World's only rock critic podcast; RJ's fully independent model and rejection of label system</t>
  </si>
  <si>
    <t xml:space="preserve">Chicago Public Media; WBEZ flagship music show</t>
  </si>
  <si>
    <t xml:space="preserve">KCRW Morning Becomes Eclectic</t>
  </si>
  <si>
    <t xml:space="preserve">Chris Muckley</t>
  </si>
  <si>
    <t xml:space="preserve">~200K listeners</t>
  </si>
  <si>
    <t xml:space="preserve">Active – 2026</t>
  </si>
  <si>
    <t xml:space="preserve">chris.muckley@kcrw.org</t>
  </si>
  <si>
    <t xml:space="preserve">Dutch psytrance producer making sacred music in Tenerife — 290K IG</t>
  </si>
  <si>
    <t xml:space="preserve">MBE features cutting-edge artists; RJ's psytrance-with-Hebrew-scripture sound is genuinely eclectic</t>
  </si>
  <si>
    <t xml:space="preserve">KCRW LA flagship; known for breaking artists</t>
  </si>
  <si>
    <t xml:space="preserve">The Current (MPR)</t>
  </si>
  <si>
    <t xml:space="preserve">~300K listeners</t>
  </si>
  <si>
    <t xml:space="preserve">localshow@mpr.org</t>
  </si>
  <si>
    <t xml:space="preserve">Dutch producer releasing music independently from Tenerife — 30+ tracks, no label</t>
  </si>
  <si>
    <t xml:space="preserve">The Current champions independent artists; RJ's full-ownership model is the independent ideal</t>
  </si>
  <si>
    <t xml:space="preserve">Minnesota Public Radio; strong indie music focus</t>
  </si>
  <si>
    <t xml:space="preserve">THEOTIVITY | Theology, Creativity &amp; Culture</t>
  </si>
  <si>
    <t xml:space="preserve">Growing niche</t>
  </si>
  <si>
    <t xml:space="preserve">Web search</t>
  </si>
  <si>
    <t xml:space="preserve">A Dutch raver who returned to God through psytrance and Hebrew scripture</t>
  </si>
  <si>
    <t xml:space="preserve">Thaddeus explores theology through culture/creativity; RJ's music literally begins with a specific Bible verse</t>
  </si>
  <si>
    <t xml:space="preserve">Faith x creativity podcast; host transitioned from atheism</t>
  </si>
  <si>
    <t xml:space="preserve">10K-50K</t>
  </si>
  <si>
    <t xml:space="preserve">Guest pitch: Dutch psytrance producer — when faith becomes the instrument</t>
  </si>
  <si>
    <t xml:space="preserve">UK show about how faith shapes artistic expression; RJ's return to faith after leaving church at 19</t>
  </si>
  <si>
    <t xml:space="preserve">UK-based faith and arts show</t>
  </si>
  <si>
    <t xml:space="preserve">Breathe: Faith and Creativity Podcast</t>
  </si>
  <si>
    <t xml:space="preserve">Derrick Engoy</t>
  </si>
  <si>
    <t xml:space="preserve">10K-50K (25 countries)</t>
  </si>
  <si>
    <t xml:space="preserve">motomotosings@gmail.com</t>
  </si>
  <si>
    <t xml:space="preserve">breathepodcast.us</t>
  </si>
  <si>
    <t xml:space="preserve">N/A – use website form</t>
  </si>
  <si>
    <t xml:space="preserve">Guest pitch: Breathe Faith and Creativity — Dutch psytrance producer making scripture-driven music</t>
  </si>
  <si>
    <t xml:space="preserve">Core mission is interviewing artists about how faith shapes art; RJ's tracks literally start from a Hebrew Bible verse</t>
  </si>
  <si>
    <t xml:space="preserve">No direct email — contact via breathepodcast.us; draft saved to RJ's own address</t>
  </si>
  <si>
    <t xml:space="preserve">Success Story with Scott D. Clary</t>
  </si>
  <si>
    <t xml:space="preserve">Scott D. Clary</t>
  </si>
  <si>
    <t xml:space="preserve">200K+ listeners</t>
  </si>
  <si>
    <t xml:space="preserve">scott@scottdclary.com</t>
  </si>
  <si>
    <t xml:space="preserve">Guest pitch: Dutch DJ became a multimillionaire by 27, lost everything, rebuilt from a van in Tenerife</t>
  </si>
  <si>
    <t xml:space="preserve">Scott interviews founders/entrepreneurs about transformational success arcs; RJ's millionaire-to-zero-to-rebuild is perfect</t>
  </si>
  <si>
    <t xml:space="preserve">Large entrepreneur interview podcast</t>
  </si>
  <si>
    <t xml:space="preserve">Young and Profiting (YAP)</t>
  </si>
  <si>
    <t xml:space="preserve">Hala Taha</t>
  </si>
  <si>
    <t xml:space="preserve">500K+ listeners</t>
  </si>
  <si>
    <t xml:space="preserve">hala@youngandprofiting.com</t>
  </si>
  <si>
    <t xml:space="preserve">Guest pitch: multimillionaire by 27, lost it all, rebuilt as an independent artist in Tenerife</t>
  </si>
  <si>
    <t xml:space="preserve">YAP features unconventional multi-chapter entrepreneurship stories; RJ's arc (mindset coaching → loss → van → 290K IG) fits perfectly</t>
  </si>
  <si>
    <t xml:space="preserve">Major entrepreneur/personal brand podcast</t>
  </si>
  <si>
    <t xml:space="preserve">How I Built This with Guy Raz</t>
  </si>
  <si>
    <t xml:space="preserve">Guest pitch: how a Dutch DJ lost a million-dollar life and built something better in Tenerife</t>
  </si>
  <si>
    <t xml:space="preserve">Not a startup story but a genuine 'how I built this' — built to millionaire, lost it all, built an independent music label from scratch</t>
  </si>
  <si>
    <t xml:space="preserve">NPR/Wondery flagship founder interview show</t>
  </si>
  <si>
    <t xml:space="preserve">Dear Business Coach Podcast</t>
  </si>
  <si>
    <t xml:space="preserve">Elizabeth Walker</t>
  </si>
  <si>
    <t xml:space="preserve">30K+ listeners</t>
  </si>
  <si>
    <t xml:space="preserve">dearbusinesscoachpodcast@gmail.com</t>
  </si>
  <si>
    <t xml:space="preserve">Guest pitch: €25k masterminds, then lost everything, now coaching music entrepreneurs from Tenerife</t>
  </si>
  <si>
    <t xml:space="preserve">RJ's coaching background (€25k+ masterminds) followed by losing everything gives him a unique lens on coaching through adversity</t>
  </si>
  <si>
    <t xml:space="preserve">Business coaching focused podcast</t>
  </si>
  <si>
    <t xml:space="preserve">The Second Act Podcast</t>
  </si>
  <si>
    <t xml:space="preserve">Gord Kiteley</t>
  </si>
  <si>
    <t xml:space="preserve">Active audience</t>
  </si>
  <si>
    <t xml:space="preserve">gord@secondactpodcast.com</t>
  </si>
  <si>
    <t xml:space="preserve">Guest pitch: a second act that started in a camper van with nothing</t>
  </si>
  <si>
    <t xml:space="preserve">RJ's second act started when first act collapsed — rebuilt as a musician in Tenerife with 290K following; doing what he loves, not what he must</t>
  </si>
  <si>
    <t xml:space="preserve">Bounced – Inbox Full</t>
  </si>
  <si>
    <t xml:space="preserve">inbox was full at send time; retry same email</t>
  </si>
  <si>
    <t xml:space="preserve">The Reinvention Room</t>
  </si>
  <si>
    <t xml:space="preserve">Allison Hare</t>
  </si>
  <si>
    <t xml:space="preserve">1M+ downloads</t>
  </si>
  <si>
    <t xml:space="preserve">allison@allisonhare.com</t>
  </si>
  <si>
    <t xml:space="preserve">Guest pitch: from multimillionaire to camper van to 290K Instagram — a full reinvention</t>
  </si>
  <si>
    <t xml:space="preserve">Major reinvention podcast; RJ's two reinventions (busker to millionaire; millionaire to van to Tenerife artist) are textbook Reinvention Room material</t>
  </si>
  <si>
    <t xml:space="preserve">1M+ downloads; 1.5% globally ranked</t>
  </si>
  <si>
    <t xml:space="preserve">reBuild U Podcast</t>
  </si>
  <si>
    <t xml:space="preserve">Kari Vazquez</t>
  </si>
  <si>
    <t xml:space="preserve">Faith-based audience</t>
  </si>
  <si>
    <t xml:space="preserve">rebuildupodcast@gmail.com</t>
  </si>
  <si>
    <t xml:space="preserve">Guest pitch: Dutch DJ rebuilt his life and his faith from a camper van in Tenerife</t>
  </si>
  <si>
    <t xml:space="preserve">Faith + rebuilding lives show; RJ rebuilt financially, spiritually, geographically — every layer from scratch; faith is load-bearing in his story</t>
  </si>
  <si>
    <t xml:space="preserve">Faith-meets-creativity + rebuilding show</t>
  </si>
  <si>
    <t xml:space="preserve">How To Fail with Elizabeth Day</t>
  </si>
  <si>
    <t xml:space="preserve">500K+ downloads per season</t>
  </si>
  <si>
    <t xml:space="preserve">Guest pitch: Dutch DJ who lost everything at 30 and what the failure finally taught him</t>
  </si>
  <si>
    <t xml:space="preserve">Perfect format fit — show celebrates what failure teaches; RJ's collapse stripped identity, country, everything, and revealed what was real</t>
  </si>
  <si>
    <t xml:space="preserve">Major UK podcast; Elizabeth Day author/journalist</t>
  </si>
  <si>
    <t xml:space="preserve">Perseverance Podcast</t>
  </si>
  <si>
    <t xml:space="preserve">Kelvin (DeafBlind Potter)</t>
  </si>
  <si>
    <t xml:space="preserve">Niche hope/overcoming</t>
  </si>
  <si>
    <t xml:space="preserve">Active – bimonthly</t>
  </si>
  <si>
    <t xml:space="preserve">info@perseverancepodcast.com</t>
  </si>
  <si>
    <t xml:space="preserve">Guest pitch: Dutch DJ — from multimillionaire to camper van to rebuilding everything in Tenerife</t>
  </si>
  <si>
    <t xml:space="preserve">Multi-layered perseverance arc: built fortune, lost to blackmail, left country, rebuilt from nothing in Tenerife; still in the rebuild</t>
  </si>
  <si>
    <t xml:space="preserve">Overcoming pain through hope show</t>
  </si>
  <si>
    <t xml:space="preserve">Overcoming Adversity Podcast</t>
  </si>
  <si>
    <t xml:space="preserve">Recovery/resilience focused</t>
  </si>
  <si>
    <t xml:space="preserve">Overcomingadversitypodcast@gmail.com</t>
  </si>
  <si>
    <t xml:space="preserve">Guest pitch: Dutch DJ who lost everything to blackmail and rebuilt from zero in Tenerife</t>
  </si>
  <si>
    <t xml:space="preserve">Acute adversity — blackmail, forced exile, loss of everything — followed by slow genuine rebuild; adversity was real and so is the comeback</t>
  </si>
  <si>
    <t xml:space="preserve">Recovery and resilience podcast</t>
  </si>
  <si>
    <t xml:space="preserve">Road to Redemption</t>
  </si>
  <si>
    <t xml:space="preserve">Destiny Ministry Team</t>
  </si>
  <si>
    <t xml:space="preserve">Faith community</t>
  </si>
  <si>
    <t xml:space="preserve">rtrdestiny@gmail.com</t>
  </si>
  <si>
    <t xml:space="preserve">Guest pitch: Dutch DJ who returned to faith after losing everything — a testimony from Tenerife</t>
  </si>
  <si>
    <t xml:space="preserve">Faith testimony show; RJ's story — church at 10, left at 19 (people, not God), returned through crisis — is a genuine faith comeback story</t>
  </si>
  <si>
    <t xml:space="preserve">Faith-based testimony podcast</t>
  </si>
  <si>
    <t xml:space="preserve">The Official Trance Podcast</t>
  </si>
  <si>
    <t xml:space="preserve">Jose Solis</t>
  </si>
  <si>
    <t xml:space="preserve">~50K monthly (DI.FM)</t>
  </si>
  <si>
    <t xml:space="preserve">promos@theofficialtrancepodcast.com</t>
  </si>
  <si>
    <t xml:space="preserve">Guest pitch: Dutch psytrance producer from Tenerife — scripture, AI vocals, 30+ original tracks</t>
  </si>
  <si>
    <t xml:space="preserve">Genre fit — psytrance specialist; RJ's production angle (Hebrew scripture as creative brief, AI vocal manipulation) is genuinely unique in the genre</t>
  </si>
  <si>
    <t xml:space="preserve">DI.FM flagship trance podcast</t>
  </si>
  <si>
    <t xml:space="preserve">MixCult Records &amp; Radio Podcast</t>
  </si>
  <si>
    <t xml:space="preserve">MixCult Records</t>
  </si>
  <si>
    <t xml:space="preserve">~15K monthly</t>
  </si>
  <si>
    <t xml:space="preserve">info@mixcult.net</t>
  </si>
  <si>
    <t xml:space="preserve">Guest pitch: Dutch psytrance producer in Tenerife — AI vocals, Hebrew scripture, no label</t>
  </si>
  <si>
    <t xml:space="preserve">Artist interview + mix opportunity; RJ's production story (AI into synths, Hebrew verses as brief, 30+ owned tracks) is compelling for artist-focused show</t>
  </si>
  <si>
    <t xml:space="preserve">Electronic music artist interviews + mixes</t>
  </si>
  <si>
    <t xml:space="preserve">Global DJ Broadcast</t>
  </si>
  <si>
    <t xml:space="preserve">Markus Schulz</t>
  </si>
  <si>
    <t xml:space="preserve">200K+ weekly</t>
  </si>
  <si>
    <t xml:space="preserve">Active – weekly since 2002</t>
  </si>
  <si>
    <t xml:space="preserve">press@markusschulz.com</t>
  </si>
  <si>
    <t xml:space="preserve">Guest pitch: Dutch psytrance producer — scripture-based music, 290K Instagram, built from nothing in Tenerife</t>
  </si>
  <si>
    <t xml:space="preserve">World's longest-running DJ show; RJ's psytrance output + extraordinary backstory (millionaire to van to Tenerife) makes compelling interview</t>
  </si>
  <si>
    <t xml:space="preserve">press email bounced; DJ show, low priority for current story</t>
  </si>
  <si>
    <t xml:space="preserve">Trance Talk Podcast</t>
  </si>
  <si>
    <t xml:space="preserve">~8K monthly</t>
  </si>
  <si>
    <t xml:space="preserve">Gastbeitrag: Niederländischer Psytrance-Produzent auf Teneriffa — Schrift, KI-Gesang, 30+ Originalwerke</t>
  </si>
  <si>
    <t xml:space="preserve">First German psytrance podcast; RJ is Dutch, makes psytrance, German pitch; production angle (Hebrew scripture, AI vocals) is fascinating</t>
  </si>
  <si>
    <t xml:space="preserve">German-language psytrance podcast — pitch sent in German</t>
  </si>
  <si>
    <t xml:space="preserve">Moving Abroad Podcast</t>
  </si>
  <si>
    <t xml:space="preserve">Doug</t>
  </si>
  <si>
    <t xml:space="preserve">Expat community</t>
  </si>
  <si>
    <t xml:space="preserve">movingabroadshow@gmail.com</t>
  </si>
  <si>
    <t xml:space="preserve">Guest pitch: Dutch DJ who moved to Tenerife with a camper van and almost nothing</t>
  </si>
  <si>
    <t xml:space="preserve">Necessity-driven relocation (not lifestyle design); the real expat story — had to leave Holland due to blackmail</t>
  </si>
  <si>
    <t xml:space="preserve">Real expat stories show</t>
  </si>
  <si>
    <t xml:space="preserve">The Expat Money Show</t>
  </si>
  <si>
    <t xml:space="preserve">Mikkel Thorup</t>
  </si>
  <si>
    <t xml:space="preserve">5K-15K</t>
  </si>
  <si>
    <t xml:space="preserve">support@ExpatMoney.com</t>
  </si>
  <si>
    <t xml:space="preserve">Guest pitch: from multimillionaire to broke expat to rebuilt — Dutch DJ in Tenerife</t>
  </si>
  <si>
    <t xml:space="preserve">Financial arc: multimillionaire by 27 (businesses, crypto, €25k coaching) → blackmail → lost all → rebuilt in Tenerife</t>
  </si>
  <si>
    <t xml:space="preserve">Expat finances, global citizenship, second passports</t>
  </si>
  <si>
    <t xml:space="preserve">The Location Indie Podcast</t>
  </si>
  <si>
    <t xml:space="preserve">Jason Moore &amp; Travis Sherry</t>
  </si>
  <si>
    <t xml:space="preserve">3K-8K</t>
  </si>
  <si>
    <t xml:space="preserve">Guest pitch: Dutch DJ in Tenerife — location-independent music career built entirely without a label</t>
  </si>
  <si>
    <t xml:space="preserve">Fully indie location-independent career; 30+ tracks, all owned, from a studio in south Tenerife built from nothing</t>
  </si>
  <si>
    <t xml:space="preserve">About Abroad</t>
  </si>
  <si>
    <t xml:space="preserve">Chase Warrington</t>
  </si>
  <si>
    <t xml:space="preserve">15K-40K (top 2%)</t>
  </si>
  <si>
    <t xml:space="preserve">chase@aboutabroad.com</t>
  </si>
  <si>
    <t xml:space="preserve">Guest pitch: Dutch DJ in Tenerife — the expat story with a twist you won't see coming</t>
  </si>
  <si>
    <t xml:space="preserve">Spain-based show; RJ in Tenerife; full spectrum from church kid to busker to millionaire to van to island rebuild</t>
  </si>
  <si>
    <t xml:space="preserve">Top 2% globally ranked expat show, Spain base</t>
  </si>
  <si>
    <t xml:space="preserve">Traveling with Kristin</t>
  </si>
  <si>
    <t xml:space="preserve">Kristin Wilson</t>
  </si>
  <si>
    <t xml:space="preserve">20K+</t>
  </si>
  <si>
    <t xml:space="preserve">hello@travelingwithkristin.com</t>
  </si>
  <si>
    <t xml:space="preserve">Guest pitch: Dutch DJ built a 290K following and 30-track catalogue from a van in Tenerife</t>
  </si>
  <si>
    <t xml:space="preserve">Kristin helps people live abroad; RJ did it the hard way — 290K IG, 30+ tracks, built from van with faith</t>
  </si>
  <si>
    <t xml:space="preserve">Helped 1000+ people retire/live abroad in 35 countries</t>
  </si>
  <si>
    <t xml:space="preserve">This Expat Life</t>
  </si>
  <si>
    <t xml:space="preserve">Amanda Maxime</t>
  </si>
  <si>
    <t xml:space="preserve">5K-10K</t>
  </si>
  <si>
    <t xml:space="preserve">info@amandamaximecoaching.com</t>
  </si>
  <si>
    <t xml:space="preserve">Guest pitch: Dutch mindset coach turned DJ — rebuilt everything in Tenerife after losing it all</t>
  </si>
  <si>
    <t xml:space="preserve">Amanda coaches high-achieving expats; RJ is former high-ticket coach (€25k masterminds) who went through the most severe transition possible</t>
  </si>
  <si>
    <t xml:space="preserve">High-achieving expat transitions coaching</t>
  </si>
  <si>
    <t xml:space="preserve">The Music Biz Podcast</t>
  </si>
  <si>
    <t xml:space="preserve">James Shotwell</t>
  </si>
  <si>
    <t xml:space="preserve">Music industry professionals</t>
  </si>
  <si>
    <t xml:space="preserve">james@haulix.com</t>
  </si>
  <si>
    <t xml:space="preserve">Guest pitch: Dutch producer — 30+ tracks, every master owned, zero labels, zero compromise</t>
  </si>
  <si>
    <t xml:space="preserve">Counter-narrative to label system; RJ owns every master, 30+ tracks, built from Tenerife studio entirely independently</t>
  </si>
  <si>
    <t xml:space="preserve">james@haulix.com bounced; Music Biz Podcast</t>
  </si>
  <si>
    <t xml:space="preserve">Songwriter community</t>
  </si>
  <si>
    <t xml:space="preserve">Guest pitch: Dutch psytrance producer whose songs always start with a Hebrew Bible verse</t>
  </si>
  <si>
    <t xml:space="preserve">Deep-dive songwriting conversations; RJ's creative process (scripture → track) is distinctive and compelling</t>
  </si>
  <si>
    <t xml:space="preserve">Songwriters and music creators</t>
  </si>
  <si>
    <t xml:space="preserve">Creative Forces Podcast</t>
  </si>
  <si>
    <t xml:space="preserve">Guy Kilty</t>
  </si>
  <si>
    <t xml:space="preserve">Creative professionals</t>
  </si>
  <si>
    <t xml:space="preserve">creativeforcespod@gmail.com</t>
  </si>
  <si>
    <t xml:space="preserve">Guest pitch: Dutch producer making psytrance from Hebrew Bible verses in Tenerife</t>
  </si>
  <si>
    <t xml:space="preserve">Creative process show; RJ's method (open Bible, pick verse, build track around it + AI vocal manipulation) is highly distinctive</t>
  </si>
  <si>
    <t xml:space="preserve">Creative professionals and entrepreneurs</t>
  </si>
  <si>
    <t xml:space="preserve">Behind the Music Business Podcast</t>
  </si>
  <si>
    <t xml:space="preserve">Music business professionals</t>
  </si>
  <si>
    <t xml:space="preserve">Music industry focused</t>
  </si>
  <si>
    <t xml:space="preserve">behindthebusinesspod@gmail.com</t>
  </si>
  <si>
    <t xml:space="preserve">Guest pitch: building a music business behind the business — 30 tracks, every master owned</t>
  </si>
  <si>
    <t xml:space="preserve">Full business infrastructure built by one person from Tenerife; owns all IP, masters all production, handles all strategy independently</t>
  </si>
  <si>
    <t xml:space="preserve">Music professionals discussing roles and motivations</t>
  </si>
  <si>
    <t xml:space="preserve">Making Money in the Music Business</t>
  </si>
  <si>
    <t xml:space="preserve">Dr. William E. Smith &amp; Kenya McGuire-Johnson</t>
  </si>
  <si>
    <t xml:space="preserve">Independent musicians</t>
  </si>
  <si>
    <t xml:space="preserve">3mbpodcast@gmail.com</t>
  </si>
  <si>
    <t xml:space="preserve">Guest pitch: Dutch musician — multiple income streams, owned masters, rebuilt from zero</t>
  </si>
  <si>
    <t xml:space="preserve">Monetization strategy for indie musicians; RJ's diverse income (coaching background, crowdfunding, owned catalogue, 290K social) is an unusual case study</t>
  </si>
  <si>
    <t xml:space="preserve">Monetization strategies for independent musicians</t>
  </si>
  <si>
    <t xml:space="preserve">Cultuur+Ondernemen Podcast</t>
  </si>
  <si>
    <t xml:space="preserve">Rinke Vreeke</t>
  </si>
  <si>
    <t xml:space="preserve">communicatie@cultuur-ondernemen.nl</t>
  </si>
  <si>
    <t xml:space="preserve">Gastvoorstel: Nederlandse DJ/producer bouwt een muziekbedrijf op vanuit Tenerife</t>
  </si>
  <si>
    <t xml:space="preserve">Cultural entrepreneurs show; RJ is Dutch creative ondernemer — 30+ nummers, alle masters eigendom, geen label, vanuit Tenerife</t>
  </si>
  <si>
    <t xml:space="preserve">Dutch creative/cultural entrepreneur podcast — pitched in Dutch</t>
  </si>
  <si>
    <t xml:space="preserve">Jonge Ondernemers Podcast</t>
  </si>
  <si>
    <t xml:space="preserve">Robbin Reijnen &amp; Hans van Doesburg</t>
  </si>
  <si>
    <t xml:space="preserve">12K-30K</t>
  </si>
  <si>
    <t xml:space="preserve">jop.transistor.fm / @dejongeondernemerspodcast</t>
  </si>
  <si>
    <t xml:space="preserve">N/A – use social/platform</t>
  </si>
  <si>
    <t xml:space="preserve">Gastvoorstel: Nederlandse DJ die op zijn 27e multimiljonair werd en daarna opnieuw begon</t>
  </si>
  <si>
    <t xml:space="preserve">Young Dutch entrepreneurs; RJ's multimillionaire-by-27 arc followed by total loss and rebuild is compelling for younger audience</t>
  </si>
  <si>
    <t xml:space="preserve">No direct email — contact via Instagram @dejongeondernemerspodcast; Dutch pitch</t>
  </si>
  <si>
    <t xml:space="preserve">Unternehmer Macher Podcast</t>
  </si>
  <si>
    <t xml:space="preserve">Christoph Lindemann</t>
  </si>
  <si>
    <t xml:space="preserve">30K-60K</t>
  </si>
  <si>
    <t xml:space="preserve">unternehmer-macher.de/gast-werden</t>
  </si>
  <si>
    <t xml:space="preserve">N/A – use form</t>
  </si>
  <si>
    <t xml:space="preserve">Gastbeitrag: Unternehmer Macher — Niederländischer DJ-Produzent auf Teneriffa, Multimillionär mit 27</t>
  </si>
  <si>
    <t xml:space="preserve">Top 50 German business podcast; RJ's Neustart story (millionaire → blackmail → van → Tenerife rebuild) compelling for German audience</t>
  </si>
  <si>
    <t xml:space="preserve">German top 50 business podcast — German pitch; no direct email, use form</t>
  </si>
  <si>
    <t xml:space="preserve">Chefetage Podcast</t>
  </si>
  <si>
    <t xml:space="preserve">Leif Neugebohrn</t>
  </si>
  <si>
    <t xml:space="preserve">25K-50K</t>
  </si>
  <si>
    <t xml:space="preserve">chefetage-podcast.de</t>
  </si>
  <si>
    <t xml:space="preserve">Gastbeitrag: Chefetage Podcast — Niederländischer DJ &amp; Unternehmer auf Teneriffa</t>
  </si>
  <si>
    <t xml:space="preserve">German CEO/entrepreneur podcast; RJ's leadership arc (€25k coaching, lost all, rebuilt from zero) is CEO-level story about failure and reinvention</t>
  </si>
  <si>
    <t xml:space="preserve">German CEO/entrepreneur podcast — German pitch; no direct email, use form</t>
  </si>
  <si>
    <t xml:space="preserve">The Good Life Project</t>
  </si>
  <si>
    <t xml:space="preserve">300K+ listeners</t>
  </si>
  <si>
    <t xml:space="preserve">Guest pitch: Dutch DJ who lost a million-dollar life and found meaning in a camper van in Tenerife</t>
  </si>
  <si>
    <t xml:space="preserve">Show about meaning, purpose, living well; RJ's collapse and rebuild is a direct exploration of what the good life actually means</t>
  </si>
  <si>
    <t xml:space="preserve">Long-running meaning/purpose podcast</t>
  </si>
  <si>
    <t xml:space="preserve">Joshua Fields Millburn &amp; Ryan Nicodemus</t>
  </si>
  <si>
    <t xml:space="preserve">250K+ listeners</t>
  </si>
  <si>
    <t xml:space="preserve">Guest pitch: Dutch producer who walked away from a millionaire life and built something smaller and more real</t>
  </si>
  <si>
    <t xml:space="preserve">Living with less by necessity then choice; RJ lost everything and then discovered he didn't want most of it back; 30+ tracks, no label, fully owned</t>
  </si>
  <si>
    <t xml:space="preserve">Minimalism and intentional living podcast</t>
  </si>
  <si>
    <t xml:space="preserve">The Danny Morel Show (The Higher Self)</t>
  </si>
  <si>
    <t xml:space="preserve">Danny Morel</t>
  </si>
  <si>
    <t xml:space="preserve">150K+ listeners</t>
  </si>
  <si>
    <t xml:space="preserve">danny@dannymorel.com</t>
  </si>
  <si>
    <t xml:space="preserve">Guest pitch: Dutch DJ who returned to faith through psytrance and Hebrew scripture — a testimony from Tenerife</t>
  </si>
  <si>
    <t xml:space="preserve">Spiritual transformation show; RJ's arc (church 10-19, left, built secular empire, lost all, returned to faith) is a complete spiritual testimony</t>
  </si>
  <si>
    <t xml:space="preserve">Spiritual transformation focus; 150K+ listeners</t>
  </si>
  <si>
    <t xml:space="preserve">Better Than Yesterday with Osher Günsberg</t>
  </si>
  <si>
    <t xml:space="preserve">Osher Günsberg</t>
  </si>
  <si>
    <t xml:space="preserve">Active – 12 years</t>
  </si>
  <si>
    <t xml:space="preserve">sendosheremail@gmail.com</t>
  </si>
  <si>
    <t xml:space="preserve">Guest pitch: Dutch DJ — from €25k mindset coaching to a camper van to rebuilding everything in Tenerife</t>
  </si>
  <si>
    <t xml:space="preserve">12-year transformation show; RJ's arc (multimillionaire by 27, total collapse at 30, slow rebuild in foreign country) — still in it, making it honest</t>
  </si>
  <si>
    <t xml:space="preserve">Personal transformation, resilience; 12-year run</t>
  </si>
  <si>
    <t xml:space="preserve">Growth Mindset Psychology Podcast</t>
  </si>
  <si>
    <t xml:space="preserve">GrowthMindsetPodcast@gmail.com</t>
  </si>
  <si>
    <t xml:space="preserve">Guest pitch: mindset coach who lost everything and had to apply his own coaching to himself</t>
  </si>
  <si>
    <t xml:space="preserve">RJ was a high-ticket mindset coach (€25k masterminds) whose own life collapsed — has lived both sides of the coaching toolkit</t>
  </si>
  <si>
    <t xml:space="preserve">Neuroplasticity and learning through failure</t>
  </si>
  <si>
    <t xml:space="preserve">The Mindful Kind</t>
  </si>
  <si>
    <t xml:space="preserve">Rachael Kable</t>
  </si>
  <si>
    <t xml:space="preserve">Established engaged audience</t>
  </si>
  <si>
    <t xml:space="preserve">hello@rachaelkable.com</t>
  </si>
  <si>
    <t xml:space="preserve">Guest pitch: Dutch musician finding mindfulness through Hebrew scripture and psytrance production</t>
  </si>
  <si>
    <t xml:space="preserve">Unusual mindfulness practice — opens a Bible verse, sits with it, lets it become sound; the production process is meditative in the most literal sense</t>
  </si>
  <si>
    <t xml:space="preserve">Mindfulness podcast by Rachael Kable</t>
  </si>
  <si>
    <t xml:space="preserve">1M+ downloads/episode</t>
  </si>
  <si>
    <t xml:space="preserve">Guest pitch: Diary of a CEO — Dutch DJ became a multimillionaire by 27, lost it all, rebuilt in Tenerife</t>
  </si>
  <si>
    <t xml:space="preserve">Steven Bartlett features raw personal diaries; RJ's wealth to zero to faith to rebuild is the kind of psychological arc Steven's audience comes for</t>
  </si>
  <si>
    <t xml:space="preserve">1M+/episode; contact via bookings@stevenbartlett.com when ready to send</t>
  </si>
  <si>
    <t xml:space="preserve">175M total listens</t>
  </si>
  <si>
    <t xml:space="preserve">Active – daily</t>
  </si>
  <si>
    <t xml:space="preserve">Guest pitch: Entrepreneurs on Fire — Dutch DJ became a multimillionaire by 27, lost it all, rebuilt from zero</t>
  </si>
  <si>
    <t xml:space="preserve">Elite entrepreneur show; RJ built to millionaire by 27, blackmail, fled country, rebuilt music career from van in Tenerife — exceptional fire starter story</t>
  </si>
  <si>
    <t xml:space="preserve">Submit via eofire.com/guest when ready; 175M total listens</t>
  </si>
  <si>
    <t xml:space="preserve">Tell Me Your Testimony</t>
  </si>
  <si>
    <t xml:space="preserve">Christian community</t>
  </si>
  <si>
    <t xml:space="preserve">tellyourtestimonypod@gmail.com</t>
  </si>
  <si>
    <t xml:space="preserve">My testimony: Dutch DJ who left church at 19, built a million-dollar life, lost everything, and came back</t>
  </si>
  <si>
    <t xml:space="preserve">Direct testimony show; RJ's full arc — church 10-19, left (people not God), built secular empire, lost all, returned to faith — is a complete testimony</t>
  </si>
  <si>
    <t xml:space="preserve">Christian testimony podcast</t>
  </si>
  <si>
    <t xml:space="preserve">Established faith audience</t>
  </si>
  <si>
    <t xml:space="preserve">Guest pitch: Dutch psytrance producer who starts every track with a Hebrew Bible verse</t>
  </si>
  <si>
    <t xml:space="preserve">Preston engages with messy real faith; RJ's engagement with scripture is visceral and musical not academic — turns specific verses into sound</t>
  </si>
  <si>
    <t xml:space="preserve">Theology, faith and doubt, hard questions</t>
  </si>
  <si>
    <t xml:space="preserve">Faith Lab</t>
  </si>
  <si>
    <t xml:space="preserve">hi@faithlabshow.com</t>
  </si>
  <si>
    <t xml:space="preserve">Guest pitch: Dutch DJ testing what happens when you give every song to God</t>
  </si>
  <si>
    <t xml:space="preserve">Lab angle perfect for RJ — he runs a creative experiment every time: specific Hebrew verse → psytrance track; faith and creativity as ongoing experiment</t>
  </si>
  <si>
    <t xml:space="preserve">Faith experiments and creative faith exploration</t>
  </si>
  <si>
    <t xml:space="preserve">Real Life Podcast</t>
  </si>
  <si>
    <t xml:space="preserve">Real Life Church</t>
  </si>
  <si>
    <t xml:space="preserve">Church congregation + broader</t>
  </si>
  <si>
    <t xml:space="preserve">online@real.life</t>
  </si>
  <si>
    <t xml:space="preserve">Guest pitch: Dutch DJ who came back to God through psytrance — a real life faith story</t>
  </si>
  <si>
    <t xml:space="preserve">Real stories show; RJ's return (not conversion — return) to faith after leaving church at 19 and losing everything at 30 is an honest everyday faith story</t>
  </si>
  <si>
    <t xml:space="preserve">Real Life Church everyday faith stories</t>
  </si>
  <si>
    <t xml:space="preserve">Mixing Music Podcast</t>
  </si>
  <si>
    <t xml:space="preserve">Dee Kei / Lu Moreno / James Parrish</t>
  </si>
  <si>
    <t xml:space="preserve">deekeimixes@gmail.com</t>
  </si>
  <si>
    <t xml:space="preserve">Guest pitch: Dutch psytrance producer using AI vocal manipulation as a core instrument</t>
  </si>
  <si>
    <t xml:space="preserve">Technical process angle; RJ's AI vocal manipulation is a primary instrument not an effect — 30+ tracks, all mastered independently</t>
  </si>
  <si>
    <t xml:space="preserve">Mixing, audio engineering, music production professionals</t>
  </si>
  <si>
    <t xml:space="preserve">Appetite for Production</t>
  </si>
  <si>
    <t xml:space="preserve">Tim Cant &amp; James Russell</t>
  </si>
  <si>
    <t xml:space="preserve">10K+</t>
  </si>
  <si>
    <t xml:space="preserve">a4ppodcast@gmail.com</t>
  </si>
  <si>
    <t xml:space="preserve">Guest pitch: Dutch producer using AI voice synthesis and Hebrew scripture to make psytrance</t>
  </si>
  <si>
    <t xml:space="preserve">Music tech journalists; RJ's AI workflow (voice into synth, scripture as brief) is genuinely novel — using AI as an instrument with specific creative intention</t>
  </si>
  <si>
    <t xml:space="preserve">Music tech journalist discussion show</t>
  </si>
  <si>
    <t xml:space="preserve">The Mastering Show</t>
  </si>
  <si>
    <t xml:space="preserve">Ian Shepherd</t>
  </si>
  <si>
    <t xml:space="preserve">15K+</t>
  </si>
  <si>
    <t xml:space="preserve">ian@productionadvice.co.uk</t>
  </si>
  <si>
    <t xml:space="preserve">Guest pitch: Dutch producer — 30+ tracks, every master owned, built entirely from a home studio in Tenerife</t>
  </si>
  <si>
    <t xml:space="preserve">Independent production mastery; RJ built, produced, mixed and owns 30+ tracks with no label infrastructure in a home studio on a volcanic island</t>
  </si>
  <si>
    <t xml:space="preserve">Mastering and audio engineering show</t>
  </si>
  <si>
    <t xml:space="preserve">Ableton Music Producer Podcast</t>
  </si>
  <si>
    <t xml:space="preserve">Dan Giffin</t>
  </si>
  <si>
    <t xml:space="preserve">12K+</t>
  </si>
  <si>
    <t xml:space="preserve">Dan@AbletonPodcast.com</t>
  </si>
  <si>
    <t xml:space="preserve">Guest pitch: Dutch psytrance producer using Ableton to build scripture-inspired tracks from scratch in Tenerife</t>
  </si>
  <si>
    <t xml:space="preserve">Ableton workflow; RJ's creative constraint (start with a Hebrew verse, build from there in Ableton + AI vocal processing) is a fascinating production framework</t>
  </si>
  <si>
    <t xml:space="preserve">Ableton Certified Trainer interview show</t>
  </si>
  <si>
    <t xml:space="preserve">Master Your Mix Podcast</t>
  </si>
  <si>
    <t xml:space="preserve">Various mixing engineers</t>
  </si>
  <si>
    <t xml:space="preserve">8K+</t>
  </si>
  <si>
    <t xml:space="preserve">questions@masteryourmix.com</t>
  </si>
  <si>
    <t xml:space="preserve">Guest pitch: independent producer — 30+ tracks, owns every master, mixed from a studio in Tenerife</t>
  </si>
  <si>
    <t xml:space="preserve">Independent mixing story; RJ owns full chain — production, mixing, mastering, distribution; 30+ tracks alone in Tenerife studio</t>
  </si>
  <si>
    <t xml:space="preserve">Mixing engineers and home studio producers</t>
  </si>
  <si>
    <t xml:space="preserve">Gear Club Podcast</t>
  </si>
  <si>
    <t xml:space="preserve">John Agnello &amp; Stewart Lerman</t>
  </si>
  <si>
    <t xml:space="preserve">18K+</t>
  </si>
  <si>
    <t xml:space="preserve">gearclubpodcast@gmail.com</t>
  </si>
  <si>
    <t xml:space="preserve">Guest pitch: Dutch producer who built a studio in a camper van and never looked back</t>
  </si>
  <si>
    <t xml:space="preserve">Gear and creative process; RJ started portable in a camper van, built out from there — gear decisions under constraints are rich conversation for engineers</t>
  </si>
  <si>
    <t xml:space="preserve">Working engineers and producers discuss gear and creative process</t>
  </si>
  <si>
    <t xml:space="preserve">ITNIG - Podcast de Historias de Startups</t>
  </si>
  <si>
    <t xml:space="preserve">ITNIG team</t>
  </si>
  <si>
    <t xml:space="preserve">50K-100K</t>
  </si>
  <si>
    <t xml:space="preserve">media@itnig.net</t>
  </si>
  <si>
    <t xml:space="preserve">Propuesta de invitado: DJ holandés se convirtió en multimillonario a los 27, lo perdió todo, reconstruyó desde cero en Tenerife</t>
  </si>
  <si>
    <t xml:space="preserve">Spanish startup stories podcast; RJ's arc (multimillionaire → blackmail → van → Tenerife rebuild) is a genuine startup-from-zero story</t>
  </si>
  <si>
    <t xml:space="preserve">Spanish-language startup and entrepreneur podcast — pitch sent in Spanish</t>
  </si>
  <si>
    <t xml:space="preserve">Conversaciones Millonarias</t>
  </si>
  <si>
    <t xml:space="preserve">20K-40K</t>
  </si>
  <si>
    <t xml:space="preserve">conversacionesmillonarias@gmail.com</t>
  </si>
  <si>
    <t xml:space="preserve">Propuesta de invitado: DJ holandés — multimillonario a los 27, lo perdió todo, reconstruyó desde una caravana</t>
  </si>
  <si>
    <t xml:space="preserve">Spanish wealth mindset show; RJ's wealth arc (millionaire by 27, lost all, rebuilt differently) is unusual and valuable perspective</t>
  </si>
  <si>
    <t xml:space="preserve">Spanish-language abundance and wealth podcast — pitch sent in Spanish</t>
  </si>
  <si>
    <t xml:space="preserve">Move to Spain: The Podcast</t>
  </si>
  <si>
    <t xml:space="preserve">JustLaw Solicitors</t>
  </si>
  <si>
    <t xml:space="preserve">10K-20K</t>
  </si>
  <si>
    <t xml:space="preserve">business@justlawsolicitors.com</t>
  </si>
  <si>
    <t xml:space="preserve">Guest pitch: Dutch DJ who moved to Tenerife under extraordinary circumstances — a Move to Spain story</t>
  </si>
  <si>
    <t xml:space="preserve">Expat Spain show; RJ's move was necessity not choice — fled Holland, drove to Tenerife in camper van, rebuilt everything from there</t>
  </si>
  <si>
    <t xml:space="preserve">English-language expat in Spain podcast</t>
  </si>
  <si>
    <t xml:space="preserve">The Courage to Change: A Recovery Podcast</t>
  </si>
  <si>
    <t xml:space="preserve">Ashley Loeb Blassingame</t>
  </si>
  <si>
    <t xml:space="preserve">Top 10% of podcasts</t>
  </si>
  <si>
    <t xml:space="preserve">podcast@lionrock.life</t>
  </si>
  <si>
    <t xml:space="preserve">Guest pitch: Dutch DJ — from the rave scene to losing everything to finding faith in Tenerife</t>
  </si>
  <si>
    <t xml:space="preserve">Recovery-adjacent; RJ's rave years, blackmail, exile, camper van, faith return — what courage to change really looks like over years</t>
  </si>
  <si>
    <t xml:space="preserve">Wired's best podcasts; recovery and courage stories</t>
  </si>
  <si>
    <t xml:space="preserve">Inside Mental Health</t>
  </si>
  <si>
    <t xml:space="preserve">Gabe Howard</t>
  </si>
  <si>
    <t xml:space="preserve">Award-winning, broad audience</t>
  </si>
  <si>
    <t xml:space="preserve">gabehoward29@gmail.com</t>
  </si>
  <si>
    <t xml:space="preserve">Guest pitch: Dutch DJ — from the rave scene to blackmail to a camper van to rebuilding in Tenerife</t>
  </si>
  <si>
    <t xml:space="preserve">Mental health dimensions of RJ's story: rave years, blackmail, forced exile, identity loss, slow rebuild in foreign country — human story about what extreme adversity does to sense of self</t>
  </si>
  <si>
    <t xml:space="preserve">Award-winning accessible mental health podcast</t>
  </si>
  <si>
    <t xml:space="preserve">Transcending Identity Podcast</t>
  </si>
  <si>
    <t xml:space="preserve">Nichole Lee</t>
  </si>
  <si>
    <t xml:space="preserve">Global transformation seekers</t>
  </si>
  <si>
    <t xml:space="preserve">podcast@nicholelee.love</t>
  </si>
  <si>
    <t xml:space="preserve">Guest pitch: Dutch DJ who lost his identity at 30 and built a completely different one in Tenerife</t>
  </si>
  <si>
    <t xml:space="preserve">Identity transformation show; RJ's identity was destroyed by blackmail at 30; what grew in its place (scripture-based psytrance, 290K following, owned masters) is more honest</t>
  </si>
  <si>
    <t xml:space="preserve">Personal transformation and triumph podcast</t>
  </si>
  <si>
    <t xml:space="preserve">The School of Greatness</t>
  </si>
  <si>
    <t xml:space="preserve">500K+ monthly</t>
  </si>
  <si>
    <t xml:space="preserve">Guest pitch: Dutch DJ — multimillionaire by 27, lost everything, rebuilt from a van in Tenerife with 290K followers</t>
  </si>
  <si>
    <t xml:space="preserve">Lewis features full-arc stories; RJ covers every element: early success, catastrophic failure, spiritual grounding, creative reinvention, rebuilt life with 290K and 30+ owned tracks</t>
  </si>
  <si>
    <t xml:space="preserve">Major personal transformation and success podcast</t>
  </si>
  <si>
    <t xml:space="preserve">London Real</t>
  </si>
  <si>
    <t xml:space="preserve">Brian Rose</t>
  </si>
  <si>
    <t xml:space="preserve">1M+ views</t>
  </si>
  <si>
    <t xml:space="preserve">brian@londonreal.link</t>
  </si>
  <si>
    <t xml:space="preserve">Guest pitch: Dutch DJ — crypto investor, multimillionaire by 27, lost everything, rebuilt in Tenerife</t>
  </si>
  <si>
    <t xml:space="preserve">Long-form personal dev + crypto show; RJ's crypto/investment chapter (one arc of a bigger story) + loss + rebuild fits Brian's full-cycle format</t>
  </si>
  <si>
    <t xml:space="preserve">Long-form personal development, crypto, finance</t>
  </si>
  <si>
    <t xml:space="preserve">100K+</t>
  </si>
  <si>
    <t xml:space="preserve">Guest pitch: Dutch musician — built a million-dollar life through unconventional means, lost it, rebuilt differently</t>
  </si>
  <si>
    <t xml:space="preserve">FI podcast; RJ's financial philosophy story — built wealth (businesses, crypto, coaching), lost it all, rebuilt without chasing same metrics</t>
  </si>
  <si>
    <t xml:space="preserve">Financial independence and smart money podcast</t>
  </si>
  <si>
    <t xml:space="preserve">ChooseFI</t>
  </si>
  <si>
    <t xml:space="preserve">Brad Barrett &amp; Jonathan Mendonsa</t>
  </si>
  <si>
    <t xml:space="preserve">200K+</t>
  </si>
  <si>
    <t xml:space="preserve">ask@choosefi.com</t>
  </si>
  <si>
    <t xml:space="preserve">Guest pitch: Dutch musician hit financial independence by 27, lost everything, rebuilt a better version</t>
  </si>
  <si>
    <t xml:space="preserve">FIRE community; RJ hit FI-like status by 27 then lost it all — rebuilt with 30+ owned tracks, 290K IG, Tenerife life — unusual FI story from other side of losing it</t>
  </si>
  <si>
    <t xml:space="preserve">Financial independence and FIRE community podcast</t>
  </si>
  <si>
    <t xml:space="preserve">Inkubatoren</t>
  </si>
  <si>
    <t xml:space="preserve">Robert Shaw</t>
  </si>
  <si>
    <t xml:space="preserve">50K+</t>
  </si>
  <si>
    <t xml:space="preserve">robert@inkubatoren.no</t>
  </si>
  <si>
    <t xml:space="preserve">Guest pitch: Dutch DJ — multimillionaire by 27, lost everything, rebuilt from a camper van in Tenerife</t>
  </si>
  <si>
    <t xml:space="preserve">Norway's leading entrepreneur podcast; RJ's full cycle (millionaire → blackmail → van → Tenerife rebuild) resonates with Scandinavian understatement and resilience</t>
  </si>
  <si>
    <t xml:space="preserve">Norway's leading entrepreneur podcast — pitch in English</t>
  </si>
  <si>
    <t xml:space="preserve">Perception Paradox</t>
  </si>
  <si>
    <t xml:space="preserve">Zivile Einikyte</t>
  </si>
  <si>
    <t xml:space="preserve">zivile@perceptionparadox.com</t>
  </si>
  <si>
    <t xml:space="preserve">Guest pitch: Dutch DJ who defied every convention — multimillionaire to van to psytrance producer in Tenerife</t>
  </si>
  <si>
    <t xml:space="preserve">Europe's underdog founders show; RJ defied convention at every step: church → business → millions → loss → exile → camper → psytrance from scripture with 290K following</t>
  </si>
  <si>
    <t xml:space="preserve">European underdog founders; English-language pan-European</t>
  </si>
  <si>
    <t xml:space="preserve">Startuprad.io</t>
  </si>
  <si>
    <t xml:space="preserve">Jörn Menninger</t>
  </si>
  <si>
    <t xml:space="preserve">joe@startuprad.io</t>
  </si>
  <si>
    <t xml:space="preserve">Guest pitch: Dutch musician who built an independent music label from scratch in Tenerife</t>
  </si>
  <si>
    <t xml:space="preserve">European startup podcast; RJ's music operation = startup (full IP ownership, zero external funding, bootstrap, 290K organic) + extraordinary founder backstory</t>
  </si>
  <si>
    <t xml:space="preserve">Europe's leading English-language startup podcast</t>
  </si>
  <si>
    <t xml:space="preserve">EU-Startups Podcast</t>
  </si>
  <si>
    <t xml:space="preserve">Thomas Ohr</t>
  </si>
  <si>
    <t xml:space="preserve">75K+</t>
  </si>
  <si>
    <t xml:space="preserve">Thomas@EU-Startups.com</t>
  </si>
  <si>
    <t xml:space="preserve">Guest pitch: Dutch artist building an independent music startup from Tenerife — 30+ tracks, all owned</t>
  </si>
  <si>
    <t xml:space="preserve">EU startup ecosystem; RJ's indie music operation as startup: full IP ownership, bootstrap, European base, 290K organic audience + broader entrepreneurial history</t>
  </si>
  <si>
    <t xml:space="preserve">EU startup ecosystem platform and podcast</t>
  </si>
  <si>
    <t xml:space="preserve">Génération Do It Yourself (GDIY)</t>
  </si>
  <si>
    <t xml:space="preserve">Matthieu Stefani</t>
  </si>
  <si>
    <t xml:space="preserve">matthieu.stefani@gmail.com</t>
  </si>
  <si>
    <t xml:space="preserve">Guest pitch: Dutch DJ — multimillionaire by 27, lost everything, rebuilt from scratch in Tenerife (for GDIY)</t>
  </si>
  <si>
    <t xml:space="preserve">France's #1 entrepreneur podcast; RJ's DIY spirit in every chapter (busking, businesses, coaching, music from van in Tenerife) — pitched in English to French-language show</t>
  </si>
  <si>
    <t xml:space="preserve">French #1 entrepreneur podcast; pitch in English to Matthieu</t>
  </si>
  <si>
    <t xml:space="preserve">Portugal - The Simple Life</t>
  </si>
  <si>
    <t xml:space="preserve">Dylan Herholdt</t>
  </si>
  <si>
    <t xml:space="preserve">40K+</t>
  </si>
  <si>
    <t xml:space="preserve">ola@portugal-the-simple-life.com</t>
  </si>
  <si>
    <t xml:space="preserve">Guest pitch: Dutch DJ who found the simple life in Tenerife — the hard way</t>
  </si>
  <si>
    <t xml:space="preserve">Southern Europe lifestyle entrepreneur show; RJ in Tenerife (Spain), built the simple life that actually works but arrived there the hard way (van, nothing, rebuild)</t>
  </si>
  <si>
    <t xml:space="preserve">Living and building in Southern Europe</t>
  </si>
  <si>
    <t xml:space="preserve">TNW Podcast (The Next Web)</t>
  </si>
  <si>
    <t xml:space="preserve">TNW editorial team</t>
  </si>
  <si>
    <t xml:space="preserve">podcast@thenextweb.com</t>
  </si>
  <si>
    <t xml:space="preserve">Guest pitch: Dutch producer using AI vocal manipulation and Hebrew scripture to make psytrance — independently</t>
  </si>
  <si>
    <t xml:space="preserve">European tech podcast; RJ's AI vocal manipulation as primary instrument (not gimmick) + 30+ independent tracks is a compelling tech + independent creator story</t>
  </si>
  <si>
    <t xml:space="preserve">European tech and innovation podcast</t>
  </si>
  <si>
    <t xml:space="preserve">The Mindset Mentor Podcast</t>
  </si>
  <si>
    <t xml:space="preserve">350M+ downloads</t>
  </si>
  <si>
    <t xml:space="preserve">Guest pitch: Dutch DJ who ran €25k mindset coaching masterminds, lost everything, and had to coach himself back</t>
  </si>
  <si>
    <t xml:space="preserve">Massive mindset show; RJ was the coach (€25k+ masterminds) who then had to apply his own coaching to the most severe test of his life — rare authentic angle</t>
  </si>
  <si>
    <t xml:space="preserve">Massive mindset and motivation podcast; 350M+ downloads</t>
  </si>
  <si>
    <t xml:space="preserve">Life Coaching with Christine Hassler</t>
  </si>
  <si>
    <t xml:space="preserve">Christine Hassler (contact: Jill)</t>
  </si>
  <si>
    <t xml:space="preserve">jill@christinehassler.com</t>
  </si>
  <si>
    <t xml:space="preserve">Guest pitch: Dutch DJ and former mindset coach — from €25k masterminds to rebuilding from zero in Tenerife</t>
  </si>
  <si>
    <t xml:space="preserve">Life coaching/spiritual growth show; RJ's coaching background (€25k masterminds) + having to use it all on his own collapse and rebuild = rare and authentic transformation arc</t>
  </si>
  <si>
    <t xml:space="preserve">Life coaching and spiritual growth; book via Jill</t>
  </si>
  <si>
    <t xml:space="preserve">Turning to the Mystics (CAC)</t>
  </si>
  <si>
    <t xml:space="preserve">James Finley</t>
  </si>
  <si>
    <t xml:space="preserve">Guest pitch: Dutch psytrance producer using Hebrew scripture as his sole creative brief</t>
  </si>
  <si>
    <t xml:space="preserve">Contemplative Christian audience; RJ's process (Hebrew text → psytrance) is a form of lectio divina; faith return after leaving church at 19</t>
  </si>
  <si>
    <t xml:space="preserve">Center for Action and Contemplation; James Finley contemplative show</t>
  </si>
  <si>
    <t xml:space="preserve">The Christian Mysticism Podcast</t>
  </si>
  <si>
    <t xml:space="preserve">Dr. Carlos Eire</t>
  </si>
  <si>
    <t xml:space="preserve">30K-50K</t>
  </si>
  <si>
    <t xml:space="preserve">Guest pitch: Dutch DJ making psytrance from Hebrew mystical texts — scripture as sound</t>
  </si>
  <si>
    <t xml:space="preserve">Academic Christian mysticism (Yale); RJ's use of Hebrew as generative source connects to mystical tradition of text as living encounter; starts with Hebrew not translation</t>
  </si>
  <si>
    <t xml:space="preserve">Christian mysticism; academic audience</t>
  </si>
  <si>
    <t xml:space="preserve">Depth Insights</t>
  </si>
  <si>
    <t xml:space="preserve">Bonnie Bright, Ph.D.</t>
  </si>
  <si>
    <t xml:space="preserve">40K-60K</t>
  </si>
  <si>
    <t xml:space="preserve">info@depthinsights.com</t>
  </si>
  <si>
    <t xml:space="preserve">Guest pitch: Dutch DJ exploring consciousness through psytrance, Hebrew scripture, and AI vocal transformation</t>
  </si>
  <si>
    <t xml:space="preserve">Transpersonal psychology; RJ's process (scripture → AI vocal transformation → track) is structured encounter with unconscious through ancient text + modern tech; biographic arc is textbook individuation</t>
  </si>
  <si>
    <t xml:space="preserve">Transpersonal psychology and consciousness</t>
  </si>
  <si>
    <t xml:space="preserve">Concerning the Spiritual in Art</t>
  </si>
  <si>
    <t xml:space="preserve">Martin L. Benson</t>
  </si>
  <si>
    <t xml:space="preserve">15K-25K</t>
  </si>
  <si>
    <t xml:space="preserve">martinlbenson@gmail.com</t>
  </si>
  <si>
    <t xml:space="preserve">Guest pitch: Dutch psytrance producer — Hebrew Bible verses as the canvas for electronic music</t>
  </si>
  <si>
    <t xml:space="preserve">Spirituality in the creative process show; RJ's spiritual is not a theme but the generative engine — opens Hebrew text, verse becomes the track</t>
  </si>
  <si>
    <t xml:space="preserve">Dialogues on spirituality and consciousness in creative process</t>
  </si>
  <si>
    <t xml:space="preserve">Siim Land Podcast</t>
  </si>
  <si>
    <t xml:space="preserve">Siim Land</t>
  </si>
  <si>
    <t xml:space="preserve">Active biohacker audience</t>
  </si>
  <si>
    <t xml:space="preserve">siim@siimland.com</t>
  </si>
  <si>
    <t xml:space="preserve">Guest pitch: Dutch DJ — rebuilt his health, identity and life from scratch in Tenerife after losing everything</t>
  </si>
  <si>
    <t xml:space="preserve">Biohacker/longevity; RJ's Tenerife life (volcanic island, outdoor, clean living) + rebuilding physical/mental health from extreme adversity is compelling health angle</t>
  </si>
  <si>
    <t xml:space="preserve">Biohacker and longevity researcher podcast</t>
  </si>
  <si>
    <t xml:space="preserve">Ongoing History of New Music</t>
  </si>
  <si>
    <t xml:space="preserve">Alan Cross</t>
  </si>
  <si>
    <t xml:space="preserve">150K+</t>
  </si>
  <si>
    <t xml:space="preserve">Active – 40 years running</t>
  </si>
  <si>
    <t xml:space="preserve">alan@alancross.ca</t>
  </si>
  <si>
    <t xml:space="preserve">Guest pitch: Dutch psytrance producer making AI-manipulated music from Hebrew scripture — independently, from Tenerife</t>
  </si>
  <si>
    <t xml:space="preserve">40-year music journalism veteran; RJ = new chapter in music's ongoing story: fully independent, AI as primary instrument, ancient scripture as compositional start, 30+ owned tracks, no label</t>
  </si>
  <si>
    <t xml:space="preserve">Canada's most recognised music documentary; Alan Cross</t>
  </si>
  <si>
    <t xml:space="preserve">LSQ with Jenny Eliscu</t>
  </si>
  <si>
    <t xml:space="preserve">Jenny Eliscu</t>
  </si>
  <si>
    <t xml:space="preserve">80K-120K</t>
  </si>
  <si>
    <t xml:space="preserve">Active – 100+ episodes</t>
  </si>
  <si>
    <t xml:space="preserve">jennyeliscu@gmail.com</t>
  </si>
  <si>
    <t xml:space="preserve">Guest pitch: Dutch producer — starts every track with a Hebrew Bible verse, owns every master, needs no label</t>
  </si>
  <si>
    <t xml:space="preserve">Long-form music interview show; RJ's creative voice (Hebrew verse → AI vocal → track) + 30+ owned originals + full independence is distinctive enough for Jenny's format</t>
  </si>
  <si>
    <t xml:space="preserve">Long-form music interviews; 100+ episodes</t>
  </si>
  <si>
    <t xml:space="preserve">Hebrew Bible Insights</t>
  </si>
  <si>
    <t xml:space="preserve">Matthew Delaney</t>
  </si>
  <si>
    <t xml:space="preserve">matthew@hebrewbibleinsights.com</t>
  </si>
  <si>
    <t xml:space="preserve">Guest pitch: Dutch psytrance producer who builds every track from original Hebrew scripture</t>
  </si>
  <si>
    <t xml:space="preserve">Biblical Hebrew focus; RJ takes a specific Hebrew verse (original, not translation) and builds entire psytrance track from it — unusual non-academic engagement with the text</t>
  </si>
  <si>
    <t xml:space="preserve">Biblical Hebrew and ancient Near Eastern context podcast</t>
  </si>
  <si>
    <t xml:space="preserve">People of the Pod</t>
  </si>
  <si>
    <t xml:space="preserve">Manya Brachear Pashman</t>
  </si>
  <si>
    <t xml:space="preserve">20K-50K</t>
  </si>
  <si>
    <t xml:space="preserve">Active – award-winning 2025/2026</t>
  </si>
  <si>
    <t xml:space="preserve">peopleofthepod@ajc.org</t>
  </si>
  <si>
    <t xml:space="preserve">Guest pitch: Dutch Christian DJ making psytrance from Hebrew scripture — an unexpected story</t>
  </si>
  <si>
    <t xml:space="preserve">American Jewish Committee podcast; interfaith angle — Dutch Christian engaging seriously with Hebrew Bible in original language; complicated, nuanced story for AJC audience</t>
  </si>
  <si>
    <t xml:space="preserve">American Jewish Committee global affairs podcast</t>
  </si>
  <si>
    <t xml:space="preserve">Chutzpod!</t>
  </si>
  <si>
    <t xml:space="preserve">Rabbi Shira Stutman &amp; Hanna Rosin</t>
  </si>
  <si>
    <t xml:space="preserve">15K-30K</t>
  </si>
  <si>
    <t xml:space="preserve">Active – Season 7 2025</t>
  </si>
  <si>
    <t xml:space="preserve">chutzpod@gmail.com</t>
  </si>
  <si>
    <t xml:space="preserve">Guest pitch: Dutch DJ using Hebrew scripture to make psytrance — Jewish wisdom meets unexpected places</t>
  </si>
  <si>
    <t xml:space="preserve">Jewish wisdom for modern life; RJ is Dutch non-Jewish DJ making psytrance from Hebrew Bible in original — what the text does when it travels beyond Jewish hands</t>
  </si>
  <si>
    <t xml:space="preserve">Jewish wisdom for millennial/modern questions; Season 7 active</t>
  </si>
  <si>
    <t xml:space="preserve">The Podcast of Jewish Ideas</t>
  </si>
  <si>
    <t xml:space="preserve">Torah in Motion</t>
  </si>
  <si>
    <t xml:space="preserve">podcasts@torahinmotion.org</t>
  </si>
  <si>
    <t xml:space="preserve">Guest pitch: Dutch psytrance producer engaging with original Hebrew scripture as a creative practitioner</t>
  </si>
  <si>
    <t xml:space="preserve">Jewish thought and scholarship; RJ's music as interpretation of Hebrew text — not academic, but intentional and serious engagement with original language</t>
  </si>
  <si>
    <t xml:space="preserve">Torah in Motion educational Jewish thought platform</t>
  </si>
  <si>
    <t xml:space="preserve">Rootless (Tablet Magazine)</t>
  </si>
  <si>
    <t xml:space="preserve">Liel Leibovitz</t>
  </si>
  <si>
    <t xml:space="preserve">tsinger@tabletmag.com</t>
  </si>
  <si>
    <t xml:space="preserve">Guest pitch for Rootless: Dutch DJ making psytrance from Hebrew scripture — a story about text that travels</t>
  </si>
  <si>
    <t xml:space="preserve">Tablet Magazine flagship; RJ raises complicated questions — Dutch Christian taking Hebrew Bible in original as sole creative brief 30+ times; chutzpah of that encounter is a Tablet story</t>
  </si>
  <si>
    <t xml:space="preserve">Tablet Magazine flagship podcast; book via Tanya Singer</t>
  </si>
  <si>
    <t xml:space="preserve">Living Lchaim Network</t>
  </si>
  <si>
    <t xml:space="preserve">Yaakov Langer</t>
  </si>
  <si>
    <t xml:space="preserve">1.6M+ weekly across network</t>
  </si>
  <si>
    <t xml:space="preserve">hi@livinglchaim.com</t>
  </si>
  <si>
    <t xml:space="preserve">Guest pitch: Dutch Christian DJ making psytrance from Hebrew Bible verses — l'chaim from Tenerife</t>
  </si>
  <si>
    <t xml:space="preserve">Large Orthodox Jewish network; RJ's respectful, serious engagement with Hebrew text in original — not performing Jewishness, working with the text as a creative practitioner with genuine faith backstory</t>
  </si>
  <si>
    <t xml:space="preserve">Orthodox Jewish podcast network; 1.6M+ weekly listeners</t>
  </si>
  <si>
    <t xml:space="preserve">Rave to the Grave</t>
  </si>
  <si>
    <t xml:space="preserve">Vivian Host</t>
  </si>
  <si>
    <t xml:space="preserve">300K+ rave community</t>
  </si>
  <si>
    <t xml:space="preserve">ravetothegravepodcast@gmail.com</t>
  </si>
  <si>
    <t xml:space="preserve">Guest pitch: Dutch psytrance producer — from the rave scene to Hebrew scripture in Tenerife</t>
  </si>
  <si>
    <t xml:space="preserve">Rave culture community; RJ was deep in European rave scene, lost everything at 30, rebuilt as scripture-based psytrance producer in Tenerife — unexpected second chapter</t>
  </si>
  <si>
    <t xml:space="preserve">Rave culture stories and electronic music history</t>
  </si>
  <si>
    <t xml:space="preserve">Abstract Worlds Psytrance Podcast</t>
  </si>
  <si>
    <t xml:space="preserve">Sonic Oblivion</t>
  </si>
  <si>
    <t xml:space="preserve">20K+ psytrance community</t>
  </si>
  <si>
    <t xml:space="preserve">sonic.oblivion.music@gmail.com</t>
  </si>
  <si>
    <t xml:space="preserve">Guest pitch: Dutch psytrance producer from Tenerife — scripture, AI vocals, 30+ originals, no label</t>
  </si>
  <si>
    <t xml:space="preserve">Pure genre fit; RJ makes psytrance with Hebrew scripture lyrics + AI vocal manipulation as core instrument; 30+ originals all owned from south Tenerife studio</t>
  </si>
  <si>
    <t xml:space="preserve">Psytrance genre podcast — direct genre match</t>
  </si>
  <si>
    <t xml:space="preserve">ROAR Rave Pods</t>
  </si>
  <si>
    <t xml:space="preserve">Tom Latchem</t>
  </si>
  <si>
    <t xml:space="preserve">50K+ rave culture</t>
  </si>
  <si>
    <t xml:space="preserve">hello@roaruk.com</t>
  </si>
  <si>
    <t xml:space="preserve">Guest pitch: Dutch psytrance producer from the European rave scene — now making Bible-inspired tracks in Tenerife</t>
  </si>
  <si>
    <t xml:space="preserve">Rave era culture; RJ went from European rave scene to multimillionaire to van to Tenerife to scripture-based psytrance — not a straight line, that's the whole story</t>
  </si>
  <si>
    <t xml:space="preserve">European rave nostalgia and culture podcast</t>
  </si>
  <si>
    <t xml:space="preserve">Art of the Kickstart</t>
  </si>
  <si>
    <t xml:space="preserve">Roy Morejon</t>
  </si>
  <si>
    <t xml:space="preserve">10K-15K</t>
  </si>
  <si>
    <t xml:space="preserve">info@artofthekickstart.com</t>
  </si>
  <si>
    <t xml:space="preserve">Guest pitch: Dutch musician who crowdfunded his comeback and owns every master of 30+ original tracks</t>
  </si>
  <si>
    <t xml:space="preserve">Crowdfunding creators; RJ used Dream or Donate (GoFundMe-style general platform) as part of comeback; 30+ tracks all owned, fully independent — crowdfunding as one tool in bigger rebuild</t>
  </si>
  <si>
    <t xml:space="preserve">Crowdfunding creator success interviews</t>
  </si>
  <si>
    <t xml:space="preserve">Crowdfunding Uncut</t>
  </si>
  <si>
    <t xml:space="preserve">Khierstyn Ross</t>
  </si>
  <si>
    <t xml:space="preserve">8K-12K</t>
  </si>
  <si>
    <t xml:space="preserve">k@crowdfundinguncut.com</t>
  </si>
  <si>
    <t xml:space="preserve">Guest pitch: Dutch musician who rebuilt from zero using crowdfunding and fan connection — 290K Instagram, 30+ owned tracks</t>
  </si>
  <si>
    <t xml:space="preserve">Crowdfunding expert show; RJ used Dream or Donate (general GoFundMe-style platform) in comeback; now 30+ owned tracks, 290K IG, no label — fan-direct model from the start</t>
  </si>
  <si>
    <t xml:space="preserve">Crowdfunding strategy and creator success</t>
  </si>
  <si>
    <t xml:space="preserve">Go Fund This!</t>
  </si>
  <si>
    <t xml:space="preserve">Rob Southgate</t>
  </si>
  <si>
    <t xml:space="preserve">4K-6K</t>
  </si>
  <si>
    <t xml:space="preserve">rob@alleychatspodcast.com</t>
  </si>
  <si>
    <t xml:space="preserve">Guest pitch: Go Fund This! — Dutch musician who crowdfunded his comeback to 290K Instagram and 30+ owned tracks</t>
  </si>
  <si>
    <t xml:space="preserve">Active crowdfunding project creators; RJ's Dream or Donate story (general crowdfunding, not music-specific) + what made people donate + how it connects to 290K following + full indie career</t>
  </si>
  <si>
    <t xml:space="preserve">Active crowdfunding project creator interviews</t>
  </si>
  <si>
    <t xml:space="preserve">Storytelling/Narrative</t>
  </si>
  <si>
    <t xml:space="preserve">~1.5M/month</t>
  </si>
  <si>
    <t xml:space="preserve">A story about trading millions for a busking hat — and why I did it</t>
  </si>
  <si>
    <t xml:space="preserve">NPR storytelling; narrative pitch about multimillionaire arc, Tenerife collapse, return to faith</t>
  </si>
  <si>
    <t xml:space="preserve">RISK!</t>
  </si>
  <si>
    <t xml:space="preserve">~200K+</t>
  </si>
  <si>
    <t xml:space="preserve">The biggest risk I ever took wasn't leaving millions behind — it was going back to God</t>
  </si>
  <si>
    <t xml:space="preserve">True risky story podcast; framed around returning to abandoned faith as the biggest risk</t>
  </si>
  <si>
    <t xml:space="preserve">StoryCorps</t>
  </si>
  <si>
    <t xml:space="preserve">NPR</t>
  </si>
  <si>
    <t xml:space="preserve">~500K/week</t>
  </si>
  <si>
    <t xml:space="preserve">podcast@storycorps.org</t>
  </si>
  <si>
    <t xml:space="preserve">A story of collapse, return, and what it means to come home</t>
  </si>
  <si>
    <t xml:space="preserve">Intimate NPR storytelling; human story of community, disappointment by people, and return to faith</t>
  </si>
  <si>
    <t xml:space="preserve">~300K+</t>
  </si>
  <si>
    <t xml:space="preserve">"Dreamology" — the art of building millions, then choosing something priceless</t>
  </si>
  <si>
    <t xml:space="preserve">Playful multi-ologist angle; suggested Dreamology/Musicology episode; matched Alie's witty tone</t>
  </si>
  <si>
    <t xml:space="preserve">Comeback Athlete</t>
  </si>
  <si>
    <t xml:space="preserve">Blake</t>
  </si>
  <si>
    <t xml:space="preserve">Sports/Performance Mindset</t>
  </si>
  <si>
    <t xml:space="preserve">~10K-50K</t>
  </si>
  <si>
    <t xml:space="preserve">blake@comeback-athlete.com</t>
  </si>
  <si>
    <t xml:space="preserve">My comeback wasn't from injury — it was from millions, to zero, to meaning</t>
  </si>
  <si>
    <t xml:space="preserve">Athlete resilience format; framed multimillionaire-to-collapse as a performance comeback story</t>
  </si>
  <si>
    <t xml:space="preserve">~50K-150K</t>
  </si>
  <si>
    <t xml:space="preserve">The psychology of choosing purpose over peak performance — a Dutch multimillionaire's pivot</t>
  </si>
  <si>
    <t xml:space="preserve">High performance psychology; mastery across business/investing/coaching/performance, then pivot to mission</t>
  </si>
  <si>
    <t xml:space="preserve">Peak Performance Psychology</t>
  </si>
  <si>
    <t xml:space="preserve">Dr. Lauren Pierce</t>
  </si>
  <si>
    <t xml:space="preserve">laurenpiercephd@gmail.com</t>
  </si>
  <si>
    <t xml:space="preserve">What peak performance looks like when the peak collapses — a high-ticket coach's story</t>
  </si>
  <si>
    <t xml:space="preserve">Performance psychology; RJ was the coach (€25k masterminds), not the client; collapse as case study</t>
  </si>
  <si>
    <t xml:space="preserve">Inside the Mind of Champions</t>
  </si>
  <si>
    <t xml:space="preserve">Jeremy Snape</t>
  </si>
  <si>
    <t xml:space="preserve">~50K-100K</t>
  </si>
  <si>
    <t xml:space="preserve">hello@sportingedge.com</t>
  </si>
  <si>
    <t xml:space="preserve">Inside the mind of a man who built millions, then walked away — what the numbers never measured</t>
  </si>
  <si>
    <t xml:space="preserve">Apple top 10; champion mindset angle; coached high-performers himself; questioned the game at peak</t>
  </si>
  <si>
    <t xml:space="preserve">Resilience Rising</t>
  </si>
  <si>
    <t xml:space="preserve">Jen Scotney</t>
  </si>
  <si>
    <t xml:space="preserve">~10K-30K</t>
  </si>
  <si>
    <t xml:space="preserve">theresiliencerisingpodcast@gmail.com</t>
  </si>
  <si>
    <t xml:space="preserve">From €750/hour and millions in the bank, to rebuilding everything — the resilience I never expected to need</t>
  </si>
  <si>
    <t xml:space="preserve">Resilience/adversity; Tenerife collapse arc; returning to faith after being disappointed by people</t>
  </si>
  <si>
    <t xml:space="preserve">The Financial Independence Show</t>
  </si>
  <si>
    <t xml:space="preserve">Cody Berman &amp; Justin Taylor</t>
  </si>
  <si>
    <t xml:space="preserve">Alternative Wealth/Finance</t>
  </si>
  <si>
    <t xml:space="preserve">~20K-50K</t>
  </si>
  <si>
    <t xml:space="preserve">contact@thefishow.com</t>
  </si>
  <si>
    <t xml:space="preserve">I hit financial independence by 27 — then voluntarily burned it down to become a singer</t>
  </si>
  <si>
    <t xml:space="preserve">FI/FIRE community; unusual FI story — achieved it by 27, then chose music and mission over money</t>
  </si>
  <si>
    <t xml:space="preserve">Bad With Money</t>
  </si>
  <si>
    <t xml:space="preserve">Gabe Dunn</t>
  </si>
  <si>
    <t xml:space="preserve">GabeIsBadWithMoney@gmail.com</t>
  </si>
  <si>
    <t xml:space="preserve">I became a multimillionaire by 27, then chose to start over. Was I bad with money?</t>
  </si>
  <si>
    <t xml:space="preserve">Contrarian finance; taboo money story; walked away from millions — bad with money or found the point?</t>
  </si>
  <si>
    <t xml:space="preserve">Entrepreneurship/Business</t>
  </si>
  <si>
    <t xml:space="preserve">~700M+ total downloads</t>
  </si>
  <si>
    <t xml:space="preserve">How I built a crowdfunding platform, a coaching empire, and millions — then walked away for music</t>
  </si>
  <si>
    <t xml:space="preserve">NPR/Wondery flagship; entrepreneurial arc pitch — built multiple businesses, Dream or Donate, €25k coaching, collapse</t>
  </si>
  <si>
    <t xml:space="preserve">Foundr Podcast</t>
  </si>
  <si>
    <t xml:space="preserve">Nathan Chan</t>
  </si>
  <si>
    <t xml:space="preserve">~Millions</t>
  </si>
  <si>
    <t xml:space="preserve">podcast@foundr.com</t>
  </si>
  <si>
    <t xml:space="preserve">How I built a business empire by 27 — and why I burned it all down</t>
  </si>
  <si>
    <t xml:space="preserve">Leading founder-focused podcast; multimillionaire arc, collapse in Tenerife, rebuilt around music and mission</t>
  </si>
  <si>
    <t xml:space="preserve">~Hundreds of thousands</t>
  </si>
  <si>
    <t xml:space="preserve">I afforded everything — then chose to unafford it all</t>
  </si>
  <si>
    <t xml:space="preserve">Financial tradeoffs show; pitch: could afford anything but chose to start over — mission over money</t>
  </si>
  <si>
    <t xml:space="preserve">~50M/month</t>
  </si>
  <si>
    <t xml:space="preserve">The diary entry I never expected to write: giving up millions for a microphone</t>
  </si>
  <si>
    <t xml:space="preserve">World's top podcast; peak-to-collapse-to-rebuilt story; multimillionaire by 27, Tenerife, faith return</t>
  </si>
  <si>
    <t xml:space="preserve">Personal Development/Mindset</t>
  </si>
  <si>
    <t xml:space="preserve">~150M+ downloads</t>
  </si>
  <si>
    <t xml:space="preserve">What greatness looks like when you have everything — and then choose something greater</t>
  </si>
  <si>
    <t xml:space="preserve">Top PD podcast; built everything, discovered something greater — faith, music, mission after Tenerife</t>
  </si>
  <si>
    <t xml:space="preserve">~2-3M/week</t>
  </si>
  <si>
    <t xml:space="preserve">tara@hiddenbrain.org</t>
  </si>
  <si>
    <t xml:space="preserve">The unconscious bargain I made — trading meaning for millions, and the moment it collapsed</t>
  </si>
  <si>
    <t xml:space="preserve">NPR psychology show; unconscious patterns — trading meaning for metrics; faith left due to people disappointment</t>
  </si>
  <si>
    <t xml:space="preserve">connect@impacttheory.com</t>
  </si>
  <si>
    <t xml:space="preserve">Theory of impact: what happens when the impact-seeker loses himself</t>
  </si>
  <si>
    <t xml:space="preserve">Billion-dollar founder host; mindset/impact focus; €25k coaching, collapse, rebuilt with faith and music</t>
  </si>
  <si>
    <t xml:space="preserve">Proverbs 31 Mamas Podcast</t>
  </si>
  <si>
    <t xml:space="preserve">Faith/Christian</t>
  </si>
  <si>
    <t xml:space="preserve">~Unknown</t>
  </si>
  <si>
    <t xml:space="preserve">proverbs31mamaspodcast@gmail.com</t>
  </si>
  <si>
    <t xml:space="preserve">A prodigal's return — the faith I left, and why I came back</t>
  </si>
  <si>
    <t xml:space="preserve">Christian family show; left church at 19 (people, not God), returned after Tenerife — prodigal arc</t>
  </si>
  <si>
    <t xml:space="preserve">Faith &amp; Works Podcast</t>
  </si>
  <si>
    <t xml:space="preserve">InterFaith Leadership Council</t>
  </si>
  <si>
    <t xml:space="preserve">faithandworkspodcast@gmail.com</t>
  </si>
  <si>
    <t xml:space="preserve">When faith and work collided — and both fell apart</t>
  </si>
  <si>
    <t xml:space="preserve">Faith+professional life intersection; faith abandoned at 19, business built, both collapsed in Tenerife, both rebuilt</t>
  </si>
  <si>
    <t xml:space="preserve">Music Entrepreneur HQ</t>
  </si>
  <si>
    <t xml:space="preserve">David Andrew Wiebe</t>
  </si>
  <si>
    <t xml:space="preserve">Music/Artist</t>
  </si>
  <si>
    <t xml:space="preserve">~110+ episodes audience</t>
  </si>
  <si>
    <t xml:space="preserve">musicentrepreneurhq@gmail.com</t>
  </si>
  <si>
    <t xml:space="preserve">From street busker to €750/hr events to multimillionaire — and why I started over</t>
  </si>
  <si>
    <t xml:space="preserve">Musician-entrepreneur podcast; practical arc from busking to €750/hr events to multimillionaire to mission pivot</t>
  </si>
  <si>
    <t xml:space="preserve">Making It with Chris G</t>
  </si>
  <si>
    <t xml:space="preserve">~Active listener base</t>
  </si>
  <si>
    <t xml:space="preserve">Making it in music — and then choosing music over the millions I'd already made</t>
  </si>
  <si>
    <t xml:space="preserve">Former Live Nation/HoB talent buyer; chose music despite having wealth from other sources — unusual artist story</t>
  </si>
  <si>
    <t xml:space="preserve">YOU CAN Make a Living In The Music Industry</t>
  </si>
  <si>
    <t xml:space="preserve">John Martin Keith</t>
  </si>
  <si>
    <t xml:space="preserve">~68+ episodes</t>
  </si>
  <si>
    <t xml:space="preserve">contact@johnmartinkeith.com</t>
  </si>
  <si>
    <t xml:space="preserve">You can make a living in music — I made a fortune outside it, then chose music anyway</t>
  </si>
  <si>
    <t xml:space="preserve">Nashville singer-songwriter show; chose music despite financial independence — reframes the show's premise</t>
  </si>
  <si>
    <t xml:space="preserve">Groeivoer voor Ondernemers Podcast</t>
  </si>
  <si>
    <t xml:space="preserve">~390+ episodes, Dutch #1</t>
  </si>
  <si>
    <t xml:space="preserve">Van straatnummers naar €750 per uur en miljonair op 27 — waarom ik alles opgaf voor muziek</t>
  </si>
  <si>
    <t xml:space="preserve">Dutch Podcast Award winner; pitch in Dutch; RJ is Dutch — street busker to €25k masterminds to music mission</t>
  </si>
  <si>
    <t xml:space="preserve">NL</t>
  </si>
  <si>
    <t xml:space="preserve">The New Music Business</t>
  </si>
  <si>
    <t xml:space="preserve">~Spotify #1 music podcast</t>
  </si>
  <si>
    <t xml:space="preserve">awesome@aristakeacademy.com</t>
  </si>
  <si>
    <t xml:space="preserve">The new music business, meet the new music entrepreneur — multimillionaire before 30 who chose music last</t>
  </si>
  <si>
    <t xml:space="preserve">Webby Award winner music industry show; angle: doesn't need music financially — chose it for mission not money</t>
  </si>
  <si>
    <t xml:space="preserve">~Music industry professionals</t>
  </si>
  <si>
    <t xml:space="preserve">PR story of the decade? A multimillionaire who went back to busking — and what it all means</t>
  </si>
  <si>
    <t xml:space="preserve">Leading music publicist; PR angle — multimillionaire rebuilding music career with mission; interesting story to pitch</t>
  </si>
  <si>
    <t xml:space="preserve">~20K+</t>
  </si>
  <si>
    <t xml:space="preserve">kontakt@magnecon.de</t>
  </si>
  <si>
    <t xml:space="preserve">Vom Straßenmusiker zum Millionär mit 27 — und warum ich alles aufgegeben habe</t>
  </si>
  <si>
    <t xml:space="preserve">German C-level/executive podcast; pitch in German; leadership story — business, collapse, music mission</t>
  </si>
  <si>
    <t xml:space="preserve">DE</t>
  </si>
  <si>
    <t xml:space="preserve">Gründerszene Podcast</t>
  </si>
  <si>
    <t xml:space="preserve">Gründerszene Team</t>
  </si>
  <si>
    <t xml:space="preserve">~50K+/week</t>
  </si>
  <si>
    <t xml:space="preserve">podcast@gruenderszene.de</t>
  </si>
  <si>
    <t xml:space="preserve">Gründer mit 27 Millionen auf dem Konto — und warum ich Musiker wurde</t>
  </si>
  <si>
    <t xml:space="preserve">German startup media #1; pitch in German; serial founder who left business success for music mission</t>
  </si>
  <si>
    <t xml:space="preserve">Business Punk Podcast</t>
  </si>
  <si>
    <t xml:space="preserve">Carsten Puschmann</t>
  </si>
  <si>
    <t xml:space="preserve">~30K+</t>
  </si>
  <si>
    <t xml:space="preserve">info@business-punk.com</t>
  </si>
  <si>
    <t xml:space="preserve">Punk-Unternehmer: Millionär mit 27, Straßenmusiker danach — meine Geschichte</t>
  </si>
  <si>
    <t xml:space="preserve">German bold entrepreneurship show; pitch in German; unconventional story matches punk ethos</t>
  </si>
  <si>
    <t xml:space="preserve">t3n Interview Podcast</t>
  </si>
  <si>
    <t xml:space="preserve">Stella-Sophie Wojtczak</t>
  </si>
  <si>
    <t xml:space="preserve">~10K+</t>
  </si>
  <si>
    <t xml:space="preserve">podcast@t3n.de</t>
  </si>
  <si>
    <t xml:space="preserve">Digital Pioneer mit 27 Jahren Millionär — und jetzt Musiker aus Überzeugung</t>
  </si>
  <si>
    <t xml:space="preserve">German digital economy media; pitch in German; digital-era entrepreneur who pivoted to music with mission</t>
  </si>
  <si>
    <t xml:space="preserve">Emprendedores Digitales</t>
  </si>
  <si>
    <t xml:space="preserve">José Miguel García</t>
  </si>
  <si>
    <t xml:space="preserve">~10K-20K</t>
  </si>
  <si>
    <t xml:space="preserve">Contacto@josemiguelgarcia.net</t>
  </si>
  <si>
    <t xml:space="preserve">De músico callejero a millonario con 27 años — y por qué lo dejé todo</t>
  </si>
  <si>
    <t xml:space="preserve">Spanish entrepreneurship/PD show; pitch in Spanish; Tenerife connection makes this especially relevant</t>
  </si>
  <si>
    <t xml:space="preserve">ES</t>
  </si>
  <si>
    <t xml:space="preserve">Itnig Podcast</t>
  </si>
  <si>
    <t xml:space="preserve">Itnig Team</t>
  </si>
  <si>
    <t xml:space="preserve">~8K-15K</t>
  </si>
  <si>
    <t xml:space="preserve">Fundador, millonario a los 27, y ahora músico — la historia de empezar de cero cuando ya lo tienes todo</t>
  </si>
  <si>
    <t xml:space="preserve">Spanish startup/founder stories; pitch in Spanish; founder who walked away from success to rebuild around music</t>
  </si>
  <si>
    <t xml:space="preserve">Glennon Doyle / Abby Wambach / Amanda Doyle</t>
  </si>
  <si>
    <t xml:space="preserve">~500M+ plays</t>
  </si>
  <si>
    <t xml:space="preserve">A hard thing: walking away from millions and going back to something that broke you</t>
  </si>
  <si>
    <t xml:space="preserve">500M plays Apple top podcast; vulnerability/courage theme; returning to abandoned faith as the hardest thing</t>
  </si>
  <si>
    <t xml:space="preserve">Second Act Success Podcast</t>
  </si>
  <si>
    <t xml:space="preserve">Shannon Russell</t>
  </si>
  <si>
    <t xml:space="preserve">~Top 2% global</t>
  </si>
  <si>
    <t xml:space="preserve">shannon@secondactsuccess.co</t>
  </si>
  <si>
    <t xml:space="preserve">My second act began the moment I stopped pretending the first one was working</t>
  </si>
  <si>
    <t xml:space="preserve">Career reinvention show; second act from multimillionaire businessman to mission-driven music artist</t>
  </si>
  <si>
    <t xml:space="preserve">Mindvalley Podcast</t>
  </si>
  <si>
    <t xml:space="preserve">Vishen Lakhiani</t>
  </si>
  <si>
    <t xml:space="preserve">~Large international</t>
  </si>
  <si>
    <t xml:space="preserve">media@mindvalley.com</t>
  </si>
  <si>
    <t xml:space="preserve">What Mindvalley teaches — and what I had to lose to finally learn it</t>
  </si>
  <si>
    <t xml:space="preserve">Major PD platform; angle: taught transformation (€25k masterminds) but only truly transformed through loss</t>
  </si>
  <si>
    <t xml:space="preserve">Your Courageous Life Podcast</t>
  </si>
  <si>
    <t xml:space="preserve">Kate Swoboda</t>
  </si>
  <si>
    <t xml:space="preserve">~Established</t>
  </si>
  <si>
    <t xml:space="preserve">support@yourcourageouslife.com</t>
  </si>
  <si>
    <t xml:space="preserve">The most courageous thing I've ever done wasn't building millions — it was starting over</t>
  </si>
  <si>
    <t xml:space="preserve">Courage habits show; most courageous act was returning to faith and music — not the financial success</t>
  </si>
  <si>
    <t xml:space="preserve">Goal Digger Podcast</t>
  </si>
  <si>
    <t xml:space="preserve">Jenna Kutcher</t>
  </si>
  <si>
    <t xml:space="preserve">~Top ranked creative business</t>
  </si>
  <si>
    <t xml:space="preserve">podcast@jennakutcher.com</t>
  </si>
  <si>
    <t xml:space="preserve">The goal I dug for wasn't the millions — it was the meaning underneath them</t>
  </si>
  <si>
    <t xml:space="preserve">Creative entrepreneur podcast; achieved all goals but missed meaning; collapse revealed the real goal</t>
  </si>
  <si>
    <t xml:space="preserve">Viktoria Daute</t>
  </si>
  <si>
    <t xml:space="preserve">~International expat</t>
  </si>
  <si>
    <t xml:space="preserve">The world that collided with mine was in Tenerife — and it changed everything</t>
  </si>
  <si>
    <t xml:space="preserve">Moving abroad podcast; Tenerife is RJ's defining collapse/transformation location — perfect fit</t>
  </si>
  <si>
    <t xml:space="preserve">Being Boss Podcast</t>
  </si>
  <si>
    <t xml:space="preserve">Emily Thompson &amp; Kathleen Shannon</t>
  </si>
  <si>
    <t xml:space="preserve">~10M+ downloads</t>
  </si>
  <si>
    <t xml:space="preserve">Being boss when the boss inside you stops working — a Dutch entrepreneur's pivot to music</t>
  </si>
  <si>
    <t xml:space="preserve">Creative entrepreneur show; 10M+ downloads; being boss at peak success then it all collapsed — what next?</t>
  </si>
  <si>
    <t xml:space="preserve">Jasmine Star Show</t>
  </si>
  <si>
    <t xml:space="preserve">Jasmine Star</t>
  </si>
  <si>
    <t xml:space="preserve">info@jasminestar.com</t>
  </si>
  <si>
    <t xml:space="preserve">Social proof means nothing when the person you're proving it to is yourself</t>
  </si>
  <si>
    <t xml:space="preserve">Brand/social media business podcast; built wrong brand perfectly; now building authentic brand around music+faith</t>
  </si>
  <si>
    <t xml:space="preserve">InvestED Podcast</t>
  </si>
  <si>
    <t xml:space="preserve">Phil Town &amp; Danielle Town</t>
  </si>
  <si>
    <t xml:space="preserve">~Unknown (educational investing)</t>
  </si>
  <si>
    <t xml:space="preserve">questions@investedpodcast.com</t>
  </si>
  <si>
    <t xml:space="preserve">I invested my way to millions — then invested in something no portfolio can hold</t>
  </si>
  <si>
    <t xml:space="preserve">Rule #1 investing show; RJ's crypto/stock wealth → multimillionaire; what ROI matters after financial win?</t>
  </si>
  <si>
    <t xml:space="preserve">Millionaire Mindcast</t>
  </si>
  <si>
    <t xml:space="preserve">Matt Aitchison</t>
  </si>
  <si>
    <t xml:space="preserve">~Growing, 3x weekly</t>
  </si>
  <si>
    <t xml:space="preserve">Questions@MillionaireMindcast.com</t>
  </si>
  <si>
    <t xml:space="preserve">The millionaire mindset I built — and the one I had to dismantle to find real wealth</t>
  </si>
  <si>
    <t xml:space="preserve">Millionaire mindset show; RJ built it, had it, collapsed — what the mindset misses when it becomes the destination</t>
  </si>
  <si>
    <t xml:space="preserve">What Bitcoin Did</t>
  </si>
  <si>
    <t xml:space="preserve">Peter McCormack</t>
  </si>
  <si>
    <t xml:space="preserve">~10K-100K/month</t>
  </si>
  <si>
    <t xml:space="preserve">me@petermccormack.com</t>
  </si>
  <si>
    <t xml:space="preserve">I made my millions partly in crypto — then gave up the chase. Here's what I learned.</t>
  </si>
  <si>
    <t xml:space="preserve">Bitcoin/crypto podcast; RJ used crypto in wealth building path; then walked away — what the crypto race misses</t>
  </si>
  <si>
    <t xml:space="preserve">Bankless Podcast</t>
  </si>
  <si>
    <t xml:space="preserve">David Hoffman &amp; Ryan Sean Adams</t>
  </si>
  <si>
    <t xml:space="preserve">~Large DeFi/Web3 audience</t>
  </si>
  <si>
    <t xml:space="preserve">ryan@banklesshq.com</t>
  </si>
  <si>
    <t xml:space="preserve">Went bankless before 'bankless' was a movement — here's what it cost me</t>
  </si>
  <si>
    <t xml:space="preserve">DeFi/crypto sovereignty show; went bankless in a deeper sense — walked away from financial race entirely</t>
  </si>
  <si>
    <t xml:space="preserve">Rich Dad Radio Show</t>
  </si>
  <si>
    <t xml:space="preserve">Robert Kiyosaki</t>
  </si>
  <si>
    <t xml:space="preserve">~Large financial education</t>
  </si>
  <si>
    <t xml:space="preserve">mediarelations@richdad.com</t>
  </si>
  <si>
    <t xml:space="preserve">I read Rich Dad, built the assets — and still lost everything that mattered</t>
  </si>
  <si>
    <t xml:space="preserve">Rich Dad brand; RJ built the asset column (businesses, crypto/stocks, €25k coaching), won the game, collapsed</t>
  </si>
  <si>
    <t xml:space="preserve">Ed Mylett</t>
  </si>
  <si>
    <t xml:space="preserve">~500K+/month</t>
  </si>
  <si>
    <t xml:space="preserve">erica@edmylett.com</t>
  </si>
  <si>
    <t xml:space="preserve">Max out — the version of success that breaks you, and the one that saves you</t>
  </si>
  <si>
    <t xml:space="preserve">Peak performance + faith show; Ed covers faith and success — RJ's max-out story then faith return is perfect fit</t>
  </si>
  <si>
    <t xml:space="preserve">Mind Your Business Podcast</t>
  </si>
  <si>
    <t xml:space="preserve">James Wedmore</t>
  </si>
  <si>
    <t xml:space="preserve">~50K+/episode</t>
  </si>
  <si>
    <t xml:space="preserve">james@mindyourbusinesspodcast.com</t>
  </si>
  <si>
    <t xml:space="preserve">I ran a mindset empire — then had to dismantle it to find my own mind</t>
  </si>
  <si>
    <t xml:space="preserve">Online business + mindset; RJ was the coach (€25k masterminds) — ran a mindset empire that then collapsed</t>
  </si>
  <si>
    <t xml:space="preserve">Bounced – Redrafted to james@mindyourbusinesspodcast.com</t>
  </si>
  <si>
    <t xml:space="preserve">Spirit-Centered Business Podcast</t>
  </si>
  <si>
    <t xml:space="preserve">Team@SpiritCenteredBusiness.com</t>
  </si>
  <si>
    <t xml:space="preserve">Spirit-centered success — and the moment I had to prove I meant it</t>
  </si>
  <si>
    <t xml:space="preserve">Spiritual entrepreneurship; faith + business integration; collapse as the true test of spirit-centered values</t>
  </si>
  <si>
    <t xml:space="preserve">The Startup Playbook Podcast</t>
  </si>
  <si>
    <t xml:space="preserve">Rohit Bhargava</t>
  </si>
  <si>
    <t xml:space="preserve">hello@startupplaybook.co</t>
  </si>
  <si>
    <t xml:space="preserve">My startup playbook: build everything, lose it all, and start the company that was always meant to be yours</t>
  </si>
  <si>
    <t xml:space="preserve">Startup stories podcast; RJ's second-time-around founder story — won the first game, collapsed, rebuilt from mission</t>
  </si>
  <si>
    <t xml:space="preserve">~Millions of downloads</t>
  </si>
  <si>
    <t xml:space="preserve">A secret I kept from every investor pitch: I was falling apart while the numbers looked perfect</t>
  </si>
  <si>
    <t xml:space="preserve">UK podcast revealing real stories behind business success; 400+ eps; the hidden collapse behind the metrics</t>
  </si>
  <si>
    <t xml:space="preserve">Wellness Force Radio</t>
  </si>
  <si>
    <t xml:space="preserve">Josh Trent</t>
  </si>
  <si>
    <t xml:space="preserve">~800+ episodes</t>
  </si>
  <si>
    <t xml:space="preserve">support@wellnessforce.com</t>
  </si>
  <si>
    <t xml:space="preserve">I had the money, the mission, and the masterminds — but I wasn't well</t>
  </si>
  <si>
    <t xml:space="preserve">Wellness/mindset show; built success from outside in — inside wasn't well; Tenerife collapse; faith return = true wellness</t>
  </si>
  <si>
    <t xml:space="preserve">Ondernemend de Podcast</t>
  </si>
  <si>
    <t xml:space="preserve">David Wunderink &amp; Tjeerd Schorn</t>
  </si>
  <si>
    <t xml:space="preserve">~Growing</t>
  </si>
  <si>
    <t xml:space="preserve">info@ondernemenddepodcast.nl</t>
  </si>
  <si>
    <t xml:space="preserve">Van straatmuzikant naar miljonair op mijn 27e — en waarom ik daarna opnieuw begon</t>
  </si>
  <si>
    <t xml:space="preserve">Dutch entrepreneurship show; pitch in Dutch; RJ is Dutch — busking to €750/hr events to €25k masterminds to music mission</t>
  </si>
  <si>
    <t xml:space="preserve">Mensenkennis Podcast</t>
  </si>
  <si>
    <t xml:space="preserve">Fleur van Groningen</t>
  </si>
  <si>
    <t xml:space="preserve">~De Morgen audience</t>
  </si>
  <si>
    <t xml:space="preserve">Wat mensen écht drijft — het verhaal van een miljonair die alles opgaf voor muziek en geloof</t>
  </si>
  <si>
    <t xml:space="preserve">Dutch/Belgian human insight show (De Morgen); pitch in Dutch; what truly drives people — RJ's real inner story</t>
  </si>
  <si>
    <t xml:space="preserve">NL/BE</t>
  </si>
  <si>
    <t xml:space="preserve">Parle Moi Cash</t>
  </si>
  <si>
    <t xml:space="preserve">Maxence Ferrand</t>
  </si>
  <si>
    <t xml:space="preserve">~Emerging French audience</t>
  </si>
  <si>
    <t xml:space="preserve">parlemoicash.contact@gmail.com</t>
  </si>
  <si>
    <t xml:space="preserve">Comment j'ai gagné des millions avant 27 ans — et pourquoi j'ai tout recommencé à zéro</t>
  </si>
  <si>
    <t xml:space="preserve">French money/wealth podcast; pitch in French; the financial arc and the decision to start over from mission</t>
  </si>
  <si>
    <t xml:space="preserve">FR</t>
  </si>
  <si>
    <t xml:space="preserve">Opportunity Cash</t>
  </si>
  <si>
    <t xml:space="preserve">~Growing French audience</t>
  </si>
  <si>
    <t xml:space="preserve">contact@opportunitycash.fr</t>
  </si>
  <si>
    <t xml:space="preserve">L'opportunité que je n'avais pas vue : recommencer après avoir tout construit</t>
  </si>
  <si>
    <t xml:space="preserve">French entrepreneurship/money podcast; pitch in French; biggest opportunity came after the collapse</t>
  </si>
  <si>
    <t xml:space="preserve">Mindset Le Média</t>
  </si>
  <si>
    <t xml:space="preserve">~Professional/Executive French</t>
  </si>
  <si>
    <t xml:space="preserve">mindset.media.officiel@gmail.com</t>
  </si>
  <si>
    <t xml:space="preserve">Le mindset que j'avais construit — et celui que j'ai dû démolir pour me retrouver</t>
  </si>
  <si>
    <t xml:space="preserve">French mindset podcast for executives; pitch in French; RJ was the coach — his own mindset led to collapse</t>
  </si>
  <si>
    <t xml:space="preserve">Chalene Johnson &amp; Brock Johnson</t>
  </si>
  <si>
    <t xml:space="preserve">~100K-500K+</t>
  </si>
  <si>
    <t xml:space="preserve">I built an empire — but not a tribe. Here's what the difference cost me.</t>
  </si>
  <si>
    <t xml:space="preserve">Social media/community building show; empire vs tribe distinction; left church because people (tribe) failed him</t>
  </si>
  <si>
    <t xml:space="preserve">Startupeable</t>
  </si>
  <si>
    <t xml:space="preserve">Enzo Cavalie</t>
  </si>
  <si>
    <t xml:space="preserve">~50K-100K+ (LatAm)</t>
  </si>
  <si>
    <t xml:space="preserve">startupeable@gmail.com</t>
  </si>
  <si>
    <t xml:space="preserve">De músico callejero a millonario a los 27 — y lo que el mundo startup nunca te dice</t>
  </si>
  <si>
    <t xml:space="preserve">Latin American startup podcast; pitch in Spanish; the side of success no startup story shows — the collapse</t>
  </si>
  <si>
    <t xml:space="preserve">ES/LatAm</t>
  </si>
  <si>
    <t xml:space="preserve">Creando LatAm</t>
  </si>
  <si>
    <t xml:space="preserve">José Luis Ortiz</t>
  </si>
  <si>
    <t xml:space="preserve">~50K+ (LatAm)</t>
  </si>
  <si>
    <t xml:space="preserve">creandolatam@gmail.com</t>
  </si>
  <si>
    <t xml:space="preserve">Creando desde cero — cuando ya lo habías construido todo y lo perdiste</t>
  </si>
  <si>
    <t xml:space="preserve">Latin American entrepreneurship podcast; pitch in Spanish; creating again after winning and losing the first game</t>
  </si>
  <si>
    <t xml:space="preserve">Disruptivo</t>
  </si>
  <si>
    <t xml:space="preserve">Juan Del Cerro</t>
  </si>
  <si>
    <t xml:space="preserve">~75K+ (LatAm)</t>
  </si>
  <si>
    <t xml:space="preserve">hola@disruptivo.tv</t>
  </si>
  <si>
    <t xml:space="preserve">El negocio más disruptivo que construí fue abandonarlo todo para empezar de nuevo</t>
  </si>
  <si>
    <t xml:space="preserve">Latin American disruption/entrepreneurship show; pitch in Spanish; choosing to walk away = most disruptive act</t>
  </si>
  <si>
    <t xml:space="preserve">~3M+ social / 350M+ downloads</t>
  </si>
  <si>
    <t xml:space="preserve">The mindset I needed wasn't a better strategy — it was the one I abandoned at 19</t>
  </si>
  <si>
    <t xml:space="preserve">HUGE: 350M+ downloads; the mindset that saved him wasn't a technique — it was returning to abandoned faith</t>
  </si>
  <si>
    <t xml:space="preserve">Smart Business Revolution</t>
  </si>
  <si>
    <t xml:space="preserve">John Corcoran</t>
  </si>
  <si>
    <t xml:space="preserve">support@rise25.com</t>
  </si>
  <si>
    <t xml:space="preserve">How I built the business relationships no one talks about — and what they couldn't save me from</t>
  </si>
  <si>
    <t xml:space="preserve">Business networking/relationships show; how faith and human relationships are the true test of success</t>
  </si>
  <si>
    <t xml:space="preserve">Framgångspodden</t>
  </si>
  <si>
    <t xml:space="preserve">Alexander Pärleros</t>
  </si>
  <si>
    <t xml:space="preserve">~91K+ Spotify listeners</t>
  </si>
  <si>
    <t xml:space="preserve">alexanderparleros@framgangspodden.se</t>
  </si>
  <si>
    <t xml:space="preserve">A Dutch entrepreneur's story of building millions — and then choosing something worth more</t>
  </si>
  <si>
    <t xml:space="preserve">Nordic's largest interview podcast; 1680+ eps; pitched in English; universal success-to-meaning story</t>
  </si>
  <si>
    <t xml:space="preserve">SE</t>
  </si>
  <si>
    <t xml:space="preserve">Becoming More Me</t>
  </si>
  <si>
    <t xml:space="preserve">Theresa Lear Levine</t>
  </si>
  <si>
    <t xml:space="preserve">~234+ episodes</t>
  </si>
  <si>
    <t xml:space="preserve">theresa@theresalearlevine.com</t>
  </si>
  <si>
    <t xml:space="preserve">Becoming more me meant unbecoming everything I'd built myself to be</t>
  </si>
  <si>
    <t xml:space="preserve">Identity/authenticity show; built identity around achievement, collapsed, had to find who he really is</t>
  </si>
  <si>
    <t xml:space="preserve">Christians in Business</t>
  </si>
  <si>
    <t xml:space="preserve">Mike Pietila / Kelsey</t>
  </si>
  <si>
    <t xml:space="preserve">~Active community</t>
  </si>
  <si>
    <t xml:space="preserve">kelsey@christianbc.com</t>
  </si>
  <si>
    <t xml:space="preserve">What it means to be a Christian in business when you've been both — and lost them separately</t>
  </si>
  <si>
    <t xml:space="preserve">Faith + business community show; faith and business were separate, both collapsed, now integrated as one calling</t>
  </si>
  <si>
    <t xml:space="preserve">domain christianbc.com reportedly down; same email for retry</t>
  </si>
  <si>
    <t xml:space="preserve">Death, Sex &amp; Money</t>
  </si>
  <si>
    <t xml:space="preserve">Anna Sale</t>
  </si>
  <si>
    <t xml:space="preserve">~500K+/episode</t>
  </si>
  <si>
    <t xml:space="preserve">deathsexmoney@slate.com</t>
  </si>
  <si>
    <t xml:space="preserve">Money: made millions. Death: of the person I thought I was. Sex: not what you'd expect. Here's my story.</t>
  </si>
  <si>
    <t xml:space="preserve">Intimate taboo topics show (now Slate); honest unguarded pitch about money, identity death, and faith return</t>
  </si>
  <si>
    <t xml:space="preserve">The Genius Life</t>
  </si>
  <si>
    <t xml:space="preserve">Max Lugavere</t>
  </si>
  <si>
    <t xml:space="preserve">~466+ episodes</t>
  </si>
  <si>
    <t xml:space="preserve">info@maxlugavere.com</t>
  </si>
  <si>
    <t xml:space="preserve">The genius I thought I was building — and the stress that was quietly dismantling it</t>
  </si>
  <si>
    <t xml:space="preserve">Science-first wellness show; peak performance metrics were perfect but person wasn't — Tenerife as health reckoning</t>
  </si>
  <si>
    <t xml:space="preserve">The Speaker Lab</t>
  </si>
  <si>
    <t xml:space="preserve">Grant Baldwin</t>
  </si>
  <si>
    <t xml:space="preserve">~500K+ reached</t>
  </si>
  <si>
    <t xml:space="preserve">grant@grantbaldwin.com</t>
  </si>
  <si>
    <t xml:space="preserve">I charged €25,000 a person to change their mindset — here's what changed mine</t>
  </si>
  <si>
    <t xml:space="preserve">Professional speaker/coach podcast; RJ ran €25k masterminds — what happens when the coach's own message is tested</t>
  </si>
  <si>
    <t xml:space="preserve">Influence by Design</t>
  </si>
  <si>
    <t xml:space="preserve">Samantha Riley</t>
  </si>
  <si>
    <t xml:space="preserve">~650+ episodes</t>
  </si>
  <si>
    <t xml:space="preserve">hello@samanthariley.global</t>
  </si>
  <si>
    <t xml:space="preserve">I designed influence — and then had to design myself from scratch</t>
  </si>
  <si>
    <t xml:space="preserve">Expert coach influence-building podcast; built influence empire then had to rebuild authentic identity after collapse</t>
  </si>
  <si>
    <t xml:space="preserve">The Success Finder</t>
  </si>
  <si>
    <t xml:space="preserve">Brandon Straza</t>
  </si>
  <si>
    <t xml:space="preserve">brandon@thesuccessfinder.com</t>
  </si>
  <si>
    <t xml:space="preserve">I ran €25,000 masterminds — then had to find success for myself</t>
  </si>
  <si>
    <t xml:space="preserve">Mastermind/coaching community podcast; helped others find success via €25k masterminds, then had to find it himself</t>
  </si>
  <si>
    <t xml:space="preserve">The Speaking Club</t>
  </si>
  <si>
    <t xml:space="preserve">Sarah Archer</t>
  </si>
  <si>
    <t xml:space="preserve">~190+ countries reach</t>
  </si>
  <si>
    <t xml:space="preserve">podcast@thespeakingclub.com</t>
  </si>
  <si>
    <t xml:space="preserve">From singing for €750/hour to speaking for millions — the stage taught me everything</t>
  </si>
  <si>
    <t xml:space="preserve">Speaker development show; stage presence angle — €750/hr events to collapsed identity to music-driven mission</t>
  </si>
  <si>
    <t xml:space="preserve">Mastermind Your Life</t>
  </si>
  <si>
    <t xml:space="preserve">Tolu Owoyemi</t>
  </si>
  <si>
    <t xml:space="preserve">~124+ episodes</t>
  </si>
  <si>
    <t xml:space="preserve">tolu@mastermindyouragency.com</t>
  </si>
  <si>
    <t xml:space="preserve">I mastered the strategy — and still couldn't mastermind my way out of myself</t>
  </si>
  <si>
    <t xml:space="preserve">Cross-domain achiever show; strategy and mastery couldn't prevent Tenerife collapse — what no mastermind can teach</t>
  </si>
  <si>
    <t xml:space="preserve">The Brave Files</t>
  </si>
  <si>
    <t xml:space="preserve">Heather Vickery</t>
  </si>
  <si>
    <t xml:space="preserve">~Top 1.5% globally</t>
  </si>
  <si>
    <t xml:space="preserve">heather@vickeryandco.com</t>
  </si>
  <si>
    <t xml:space="preserve">The bravest thing I ever filed away — and why I finally opened it</t>
  </si>
  <si>
    <t xml:space="preserve">Courageous living show; bravest act = returning to faith after church disappointment at 19, not the business success</t>
  </si>
  <si>
    <t xml:space="preserve">The Corporate Escapee</t>
  </si>
  <si>
    <t xml:space="preserve">Brett Trainor</t>
  </si>
  <si>
    <t xml:space="preserve">~Active</t>
  </si>
  <si>
    <t xml:space="preserve">bt@bretttrainor.com</t>
  </si>
  <si>
    <t xml:space="preserve">I escaped the wrong prison — the one I'd built myself</t>
  </si>
  <si>
    <t xml:space="preserve">Corporate-to-entrepreneur transition show; unusual twist — already escaped corporate, discovered identity was the real prison</t>
  </si>
  <si>
    <t xml:space="preserve">The Corporate Escape Club</t>
  </si>
  <si>
    <t xml:space="preserve">Anneve</t>
  </si>
  <si>
    <t xml:space="preserve">~UK-based</t>
  </si>
  <si>
    <t xml:space="preserve">hello@thecorporateescapeclub.co.uk</t>
  </si>
  <si>
    <t xml:space="preserve">I'd already escaped corporate — and still needed to escape myself</t>
  </si>
  <si>
    <t xml:space="preserve">UK corporate escape show; escaping the self not the system — mission and authentic identity after the collapse</t>
  </si>
  <si>
    <t xml:space="preserve">UK</t>
  </si>
  <si>
    <t xml:space="preserve">Vallen en Opstaan</t>
  </si>
  <si>
    <t xml:space="preserve">Vincent Reinders</t>
  </si>
  <si>
    <t xml:space="preserve">vallenenopstaan@kpn.com</t>
  </si>
  <si>
    <t xml:space="preserve">Vallen en opstaan — van miljonair op 27 naar alles kwijt en opnieuw beginnen</t>
  </si>
  <si>
    <t xml:space="preserve">KPN Zakelijk podcast; name = 'Falling and Rising' = RJ's exact story arc; pitch in Dutch</t>
  </si>
  <si>
    <t xml:space="preserve">3D Podcast – Dromen Durven Doen</t>
  </si>
  <si>
    <t xml:space="preserve">~10K-15K</t>
  </si>
  <si>
    <t xml:space="preserve">driedpodcast@icloud.com</t>
  </si>
  <si>
    <t xml:space="preserve">Dromen durven doen — ook als je al miljonair bent en toch alles opgeeft voor je echte droom</t>
  </si>
  <si>
    <t xml:space="preserve">Dutch dreams/daring podcast; name = 'Dream Dare Do' maps perfectly to RJ's story; pitch in Dutch</t>
  </si>
  <si>
    <t xml:space="preserve">On Purpose with Jay Shetty</t>
  </si>
  <si>
    <t xml:space="preserve">Jay Shetty</t>
  </si>
  <si>
    <t xml:space="preserve">Mindset / Personal Development</t>
  </si>
  <si>
    <t xml:space="preserve">~200M downloads</t>
  </si>
  <si>
    <t xml:space="preserve">Web search – contact form only</t>
  </si>
  <si>
    <t xml:space="preserve">Guest Pitch: From Multimillionaire to Music — A Story of Real Reinvention</t>
  </si>
  <si>
    <t xml:space="preserve">Huge audience, mindset/purpose angle fits perfectly</t>
  </si>
  <si>
    <t xml:space="preserve">Use contact form at jayshetty.me/connect</t>
  </si>
  <si>
    <t xml:space="preserve">The Model Health Show</t>
  </si>
  <si>
    <t xml:space="preserve">Shawn Stevenson</t>
  </si>
  <si>
    <t xml:space="preserve">Health / Lifestyle / Mindset</t>
  </si>
  <si>
    <t xml:space="preserve">~50M downloads</t>
  </si>
  <si>
    <t xml:space="preserve">Guest Pitch: The Mindset Behind the Comeback</t>
  </si>
  <si>
    <t xml:space="preserve">Health/mindset overlap with RJ's transformation story</t>
  </si>
  <si>
    <t xml:space="preserve">Use contact form at themodelhealthshow.com/contact</t>
  </si>
  <si>
    <t xml:space="preserve">The Carey Nieuwhof Leadership Podcast</t>
  </si>
  <si>
    <t xml:space="preserve">Carey Nieuwhof</t>
  </si>
  <si>
    <t xml:space="preserve">Leadership / Faith / Personal Development</t>
  </si>
  <si>
    <t xml:space="preserve">~37M downloads</t>
  </si>
  <si>
    <t xml:space="preserve">Guest Pitch: Faith, Failure, and Finding Your Calling</t>
  </si>
  <si>
    <t xml:space="preserve">Faith + leadership = perfect fit for RJ's story</t>
  </si>
  <si>
    <t xml:space="preserve">Use contact form at careynieuwhof.com</t>
  </si>
  <si>
    <t xml:space="preserve">The Craig Groeschel Leadership Podcast</t>
  </si>
  <si>
    <t xml:space="preserve">Craig Groeschel</t>
  </si>
  <si>
    <t xml:space="preserve">Leadership / Christian Faith / Business</t>
  </si>
  <si>
    <t xml:space="preserve">~10M downloads</t>
  </si>
  <si>
    <t xml:space="preserve">Guest Pitch: When the Business Fails and Faith Stays</t>
  </si>
  <si>
    <t xml:space="preserve">Christian leadership podcast — faith return story is core fit</t>
  </si>
  <si>
    <t xml:space="preserve">Use contact form at craiggroeschel.com</t>
  </si>
  <si>
    <t xml:space="preserve">Transformation Church Podcast</t>
  </si>
  <si>
    <t xml:space="preserve">Pastor Michael Todd</t>
  </si>
  <si>
    <t xml:space="preserve">Faith / Spirituality</t>
  </si>
  <si>
    <t xml:space="preserve">~2M downloads</t>
  </si>
  <si>
    <t xml:space="preserve">Guest Pitch: Transformation Through Collapse — A Story of Faith and Music</t>
  </si>
  <si>
    <t xml:space="preserve">Faith story + music = strong fit</t>
  </si>
  <si>
    <t xml:space="preserve">Use contact form at transformchurch.us</t>
  </si>
  <si>
    <t xml:space="preserve">Unconventional Life</t>
  </si>
  <si>
    <t xml:space="preserve">Jules Schroeder</t>
  </si>
  <si>
    <t xml:space="preserve">Entrepreneurship / Lifestyle Design</t>
  </si>
  <si>
    <t xml:space="preserve">~3M downloads</t>
  </si>
  <si>
    <t xml:space="preserve">Guest Pitch: The Unconventional Path — From €25K Masterminds to Music</t>
  </si>
  <si>
    <t xml:space="preserve">Lifestyle design + unconventional path = great fit</t>
  </si>
  <si>
    <t xml:space="preserve">Use contact form at unconventionallifeshow.com</t>
  </si>
  <si>
    <t xml:space="preserve">Purpose to Profit Podcast</t>
  </si>
  <si>
    <t xml:space="preserve">Ibrahim Mohammed</t>
  </si>
  <si>
    <t xml:space="preserve">Entrepreneurship / Wealth Building</t>
  </si>
  <si>
    <t xml:space="preserve">~500K downloads</t>
  </si>
  <si>
    <t xml:space="preserve">Web search – Instagram/contact form only</t>
  </si>
  <si>
    <t xml:space="preserve">Guest Pitch: From Purpose to Profit — and Back to Purpose</t>
  </si>
  <si>
    <t xml:space="preserve">Purpose + profit angle aligns directly with RJ's journey</t>
  </si>
  <si>
    <t xml:space="preserve">Contact via Instagram @thegreatestlakee</t>
  </si>
  <si>
    <t xml:space="preserve">Breakthrough Success</t>
  </si>
  <si>
    <t xml:space="preserve">Marc Guberti</t>
  </si>
  <si>
    <t xml:space="preserve">Entrepreneurship / Personal Development</t>
  </si>
  <si>
    <t xml:space="preserve">Guest Pitch: The Breakthrough That Came Through Breakdown</t>
  </si>
  <si>
    <t xml:space="preserve">Breakthrough theme perfectly matches RJ's collapse + rebuild arc</t>
  </si>
  <si>
    <t xml:space="preserve">Use contact form on website</t>
  </si>
  <si>
    <t xml:space="preserve">The Abundance Podcast</t>
  </si>
  <si>
    <t xml:space="preserve">Christy Whitman</t>
  </si>
  <si>
    <t xml:space="preserve">Personal Development / Mindset</t>
  </si>
  <si>
    <t xml:space="preserve">coaching@christywhitman.com</t>
  </si>
  <si>
    <t xml:space="preserve">Web search – christywhitman.com</t>
  </si>
  <si>
    <t xml:space="preserve">Guest Pitch: Abundance Is Not About the Money — A Real Story</t>
  </si>
  <si>
    <t xml:space="preserve">Abundance theme fits RJ's mindset coaching background</t>
  </si>
  <si>
    <t xml:space="preserve">Groeivoer Podcast</t>
  </si>
  <si>
    <t xml:space="preserve">Ondernemerschap / Mindset</t>
  </si>
  <si>
    <t xml:space="preserve">~50K-100K monthly</t>
  </si>
  <si>
    <t xml:space="preserve">Web search – groeivoer.nl</t>
  </si>
  <si>
    <t xml:space="preserve">Gastpitch: Van Multimiljonair op 27 naar Opnieuw Beginnen</t>
  </si>
  <si>
    <t xml:space="preserve">390+ episodes, very active Dutch entrepreneur show</t>
  </si>
  <si>
    <t xml:space="preserve">Het Geheim van Groei</t>
  </si>
  <si>
    <t xml:space="preserve">John van Schagen &amp; Rutger Prent</t>
  </si>
  <si>
    <t xml:space="preserve">Ondernemerschap / Veerkracht / Mindset</t>
  </si>
  <si>
    <t xml:space="preserve">~15K-40K monthly</t>
  </si>
  <si>
    <t xml:space="preserve">Gastpitch: Het Geheim van Terugkomen na Alles Verliezen</t>
  </si>
  <si>
    <t xml:space="preserve">Resilience/growth focus fits RJ's comeback story well</t>
  </si>
  <si>
    <t xml:space="preserve">Use contact form at hetgeheimvangroei.nl</t>
  </si>
  <si>
    <t xml:space="preserve">Leef je Mooiste Leven Podcast</t>
  </si>
  <si>
    <t xml:space="preserve">Michael Pilarczyk</t>
  </si>
  <si>
    <t xml:space="preserve">Persoonlijke Ontwikkeling / Mindset / Spiritualiteit</t>
  </si>
  <si>
    <t xml:space="preserve">~50K+ monthly</t>
  </si>
  <si>
    <t xml:space="preserve">contact@michaelpilarczyk.nl</t>
  </si>
  <si>
    <t xml:space="preserve">Web search – michaelpilarczyk.nl</t>
  </si>
  <si>
    <t xml:space="preserve">Gastpitch: Leven op Jouw Mooiste Manier — Zelfs na Alles Verliezen</t>
  </si>
  <si>
    <t xml:space="preserve">Mindset/spirituality + 10M total plays — big Dutch show</t>
  </si>
  <si>
    <t xml:space="preserve">Ondernemen met God</t>
  </si>
  <si>
    <t xml:space="preserve">CBMC Members</t>
  </si>
  <si>
    <t xml:space="preserve">Christelijk Ondernemerschap / Geloof &amp; Business</t>
  </si>
  <si>
    <t xml:space="preserve">~10K-25K monthly</t>
  </si>
  <si>
    <t xml:space="preserve">info@cbmc.nl</t>
  </si>
  <si>
    <t xml:space="preserve">Web search – cbmc.nl</t>
  </si>
  <si>
    <t xml:space="preserve">Gastpitch: Ondernemen Vanuit Geloof — Mijn Terugkeer na een Totale Ineenstorting</t>
  </si>
  <si>
    <t xml:space="preserve">Faith + business = core fit for RJ's faith return story</t>
  </si>
  <si>
    <t xml:space="preserve">Succesvol Ondernemen Podcast</t>
  </si>
  <si>
    <t xml:space="preserve">Tineke Zwart</t>
  </si>
  <si>
    <t xml:space="preserve">Persoonlijke Ontwikkeling / Coaching / Mindset</t>
  </si>
  <si>
    <t xml:space="preserve">~15K-35K monthly</t>
  </si>
  <si>
    <t xml:space="preserve">info@tinekezwart.nl</t>
  </si>
  <si>
    <t xml:space="preserve">Web search – tinekezwart.com</t>
  </si>
  <si>
    <t xml:space="preserve">Gastpitch: Succesvol Ondernemen Begint Waar Het Stopt</t>
  </si>
  <si>
    <t xml:space="preserve">High-ticket coaching background aligns with Tineke's audience</t>
  </si>
  <si>
    <t xml:space="preserve">Jong Beleggen, de Podcast</t>
  </si>
  <si>
    <t xml:space="preserve">Pim Verlaan &amp; Milou Brand</t>
  </si>
  <si>
    <t xml:space="preserve">Finance / Vermogensopbouw / Investeren</t>
  </si>
  <si>
    <t xml:space="preserve">~20K-50K monthly</t>
  </si>
  <si>
    <t xml:space="preserve">info@dagennacht.nl</t>
  </si>
  <si>
    <t xml:space="preserve">Web search – podcast platforms</t>
  </si>
  <si>
    <t xml:space="preserve">Gastpitch: Hoe Ik als 27-jarige Multimiljonair Was — en Alles Verloor</t>
  </si>
  <si>
    <t xml:space="preserve">Investing/wealth building angle fits RJ's crypto/stocks background</t>
  </si>
  <si>
    <t xml:space="preserve">Divine Business Podcast</t>
  </si>
  <si>
    <t xml:space="preserve">Tessa van Olst &amp; Laura Pelger</t>
  </si>
  <si>
    <t xml:space="preserve">Gastpitch: Divine Purpose in een Verbroken Business</t>
  </si>
  <si>
    <t xml:space="preserve">Faith + business, perfect for RJ's return to God story</t>
  </si>
  <si>
    <t xml:space="preserve">Use contact form at tessavanolst.com/contact-tessa</t>
  </si>
  <si>
    <t xml:space="preserve">Creatiedrift Podcast</t>
  </si>
  <si>
    <t xml:space="preserve">Ruben Stelli</t>
  </si>
  <si>
    <t xml:space="preserve">Creativiteit / Muziek / Ondernemerschap</t>
  </si>
  <si>
    <t xml:space="preserve">~8K-20K monthly</t>
  </si>
  <si>
    <t xml:space="preserve">Gastpitch: Muziek als Missie — Waarom Ik Mijn Mic Terug Pakte</t>
  </si>
  <si>
    <t xml:space="preserve">Creativity/music angle — direct fit</t>
  </si>
  <si>
    <t xml:space="preserve">Use contact form at rubenstelli.nl/contact</t>
  </si>
  <si>
    <t xml:space="preserve">Ondernemerspraat</t>
  </si>
  <si>
    <t xml:space="preserve">Virginie Claes</t>
  </si>
  <si>
    <t xml:space="preserve">Ondernemerschap / Business Strategie</t>
  </si>
  <si>
    <t xml:space="preserve">~12K-30K monthly</t>
  </si>
  <si>
    <t xml:space="preserve">Gastpitch: De Ondernemer die Alles Kwijtraakte — en Opnieuw Begon</t>
  </si>
  <si>
    <t xml:space="preserve">Belgian Dutch-language show, strong entrepreneur focus</t>
  </si>
  <si>
    <t xml:space="preserve">Use contact form at ondernemerspraat.be/contact</t>
  </si>
  <si>
    <t xml:space="preserve">Chefetage</t>
  </si>
  <si>
    <t xml:space="preserve">Unternehmertum / Leadership</t>
  </si>
  <si>
    <t xml:space="preserve">~5K-15K monthly</t>
  </si>
  <si>
    <t xml:space="preserve">Web search – magnecon.de</t>
  </si>
  <si>
    <t xml:space="preserve">Gastpitch: Vom Millionär zum Neuanfang — Was Scheitern wirklich lehrt</t>
  </si>
  <si>
    <t xml:space="preserve">Leadership focus fits RJ's story well</t>
  </si>
  <si>
    <t xml:space="preserve">Unternehmer Macher</t>
  </si>
  <si>
    <t xml:space="preserve">Unternehmertum / Mindset / Erfolg</t>
  </si>
  <si>
    <t xml:space="preserve">~10K-20K monthly</t>
  </si>
  <si>
    <t xml:space="preserve">Gastpitch: Mit 27 Multimillionär — und dann alles verloren</t>
  </si>
  <si>
    <t xml:space="preserve">Entrepreneur focus matches RJ's story</t>
  </si>
  <si>
    <t xml:space="preserve">Use contact form at unternehmer-macher.de</t>
  </si>
  <si>
    <t xml:space="preserve">Impact Makers</t>
  </si>
  <si>
    <t xml:space="preserve">Ronald Schirmer</t>
  </si>
  <si>
    <t xml:space="preserve">Unternehmertum / Persönliche Entwicklung</t>
  </si>
  <si>
    <t xml:space="preserve">~8K-12K monthly</t>
  </si>
  <si>
    <t xml:space="preserve">Gastpitch: Wirklicher Impact entsteht nach dem Absturz</t>
  </si>
  <si>
    <t xml:space="preserve">Impact/purpose angle fits RJ's reinvention</t>
  </si>
  <si>
    <t xml:space="preserve">Use contact form at impactmakers.de</t>
  </si>
  <si>
    <t xml:space="preserve">Stefan Merath Podcast</t>
  </si>
  <si>
    <t xml:space="preserve">Stefan Merath</t>
  </si>
  <si>
    <t xml:space="preserve">Unternehmertum / Mindset</t>
  </si>
  <si>
    <t xml:space="preserve">~15K-25K monthly</t>
  </si>
  <si>
    <t xml:space="preserve">Gastpitch: Unternehmergeist nach dem Totalabsturz</t>
  </si>
  <si>
    <t xml:space="preserve">Mindset for entrepreneurs — direct fit</t>
  </si>
  <si>
    <t xml:space="preserve">Use contact form on official website</t>
  </si>
  <si>
    <t xml:space="preserve">Finanzrocker</t>
  </si>
  <si>
    <t xml:space="preserve">Daniel Korth</t>
  </si>
  <si>
    <t xml:space="preserve">Vermögensaufbau / Finanzen / Lifestyle</t>
  </si>
  <si>
    <t xml:space="preserve">~20K-30K monthly</t>
  </si>
  <si>
    <t xml:space="preserve">Gastpitch: Wie ich mit 27 Multimillionär wurde — und was danach kam</t>
  </si>
  <si>
    <t xml:space="preserve">Finance/investing angle fits RJ's crypto/stocks background</t>
  </si>
  <si>
    <t xml:space="preserve">Use contact form at finanzrocker.net</t>
  </si>
  <si>
    <t xml:space="preserve">Christsein im Business</t>
  </si>
  <si>
    <t xml:space="preserve">Kathleen Kitsche &amp; Walter Stuber</t>
  </si>
  <si>
    <t xml:space="preserve">Glaube &amp; Business / Christliches Unternehmertum</t>
  </si>
  <si>
    <t xml:space="preserve">~5K-10K monthly</t>
  </si>
  <si>
    <t xml:space="preserve">walter@christsein-im-business.com</t>
  </si>
  <si>
    <t xml:space="preserve">Web search – direct email found</t>
  </si>
  <si>
    <t xml:space="preserve">Gastpitch: Glaube, Absturz und Neuanfang — Eine Unternehmergeschichte</t>
  </si>
  <si>
    <t xml:space="preserve">Faith + business = perfect fit for RJ's return to faith</t>
  </si>
  <si>
    <t xml:space="preserve">Kingdompreneurship Podcast</t>
  </si>
  <si>
    <t xml:space="preserve">Jonathan Dubowy</t>
  </si>
  <si>
    <t xml:space="preserve">Glaube &amp; Business / Unternehmertum</t>
  </si>
  <si>
    <t xml:space="preserve">~8K-15K monthly</t>
  </si>
  <si>
    <t xml:space="preserve">Gastpitch: Kingdom Business — Wenn Gott der Neustart ist</t>
  </si>
  <si>
    <t xml:space="preserve">Kingdom business/faith angle — very strong fit</t>
  </si>
  <si>
    <t xml:space="preserve">Use contact form at cks-summit.com or LinkedIn</t>
  </si>
  <si>
    <t xml:space="preserve">Der Stoiker in Dir</t>
  </si>
  <si>
    <t xml:space="preserve">Constantino Mavridis</t>
  </si>
  <si>
    <t xml:space="preserve">Resilienz / Mindset / Persönliche Entwicklung</t>
  </si>
  <si>
    <t xml:space="preserve">Gastpitch: Stoische Resilienz — Wie ich alles verlor und neu aufbaute</t>
  </si>
  <si>
    <t xml:space="preserve">Resilience/stoicism = perfect for RJ's collapse and rebuild</t>
  </si>
  <si>
    <t xml:space="preserve">Use contact form at constantino-mavridis.com</t>
  </si>
  <si>
    <t xml:space="preserve">Finanzrudel (Sparkojote)</t>
  </si>
  <si>
    <t xml:space="preserve">Thomas Kovacs</t>
  </si>
  <si>
    <t xml:space="preserve">Vermögensaufbau / Finanzielle Freiheit / Lifestyle</t>
  </si>
  <si>
    <t xml:space="preserve">~10K-18K monthly</t>
  </si>
  <si>
    <t xml:space="preserve">Gastpitch: Finanzielle Freiheit — und was danach kommt</t>
  </si>
  <si>
    <t xml:space="preserve">Wealth/lifestyle fit for RJ's early success story</t>
  </si>
  <si>
    <t xml:space="preserve">Use contact form at sparkojote.ch</t>
  </si>
  <si>
    <t xml:space="preserve">Finanzfitness Podcast</t>
  </si>
  <si>
    <t xml:space="preserve">Mike Wagner</t>
  </si>
  <si>
    <t xml:space="preserve">Vermögensaufbau / Aktien / Finanzielle Freiheit</t>
  </si>
  <si>
    <t xml:space="preserve">~12K-20K monthly</t>
  </si>
  <si>
    <t xml:space="preserve">Gastpitch: Wie ich mit 27 Millionär war — und was Geld wirklich bedeutet</t>
  </si>
  <si>
    <t xml:space="preserve">Finance focus with deeper life meaning = good angle</t>
  </si>
  <si>
    <t xml:space="preserve">Use contact form at finanz-fitness.com</t>
  </si>
  <si>
    <t xml:space="preserve">CAMPAIGN STATISTICS</t>
  </si>
  <si>
    <t xml:space="preserve">Metric</t>
  </si>
  <si>
    <t xml:space="preserve">Count</t>
  </si>
  <si>
    <t xml:space="preserve">Notes</t>
  </si>
  <si>
    <t xml:space="preserve">Total Podcasts Researched</t>
  </si>
  <si>
    <t xml:space="preserve">Excludes placeholder row</t>
  </si>
  <si>
    <t xml:space="preserve">Total Pitched</t>
  </si>
  <si>
    <t xml:space="preserve">Awaiting Response</t>
  </si>
  <si>
    <t xml:space="preserve">Positive Responses 🔥</t>
  </si>
  <si>
    <t xml:space="preserve">Review these immediately</t>
  </si>
  <si>
    <t xml:space="preserve">No Response — Follow-up Due</t>
  </si>
  <si>
    <t xml:space="preserve">No Response — Closed</t>
  </si>
  <si>
    <t xml:space="preserve">No Contact Found</t>
  </si>
  <si>
    <t xml:space="preserve">Bounced / Invalid</t>
  </si>
  <si>
    <t xml:space="preserve">BREAKDOWN BY CATEGORY</t>
  </si>
  <si>
    <t xml:space="preserve">PITCH TEMPLATES BY CATEGORY — Reference Only (Each pitch must be personalised)</t>
  </si>
  <si>
    <t xml:space="preserve">ELECTRONIC MUSIC</t>
  </si>
  <si>
    <t xml:space="preserve">Lead: Music, AI workflow, 30+ tracks on Spotify independently. Mention specific release or production approach.</t>
  </si>
  <si>
    <t xml:space="preserve">FAITH &amp; CREATIVITY</t>
  </si>
  <si>
    <t xml:space="preserve">Lead: Jesus-loving raver identity, night he prayed on his knees, Holy Rave as ministry. Ancient Hebrew/Aramaic over melodic techno.</t>
  </si>
  <si>
    <t xml:space="preserve">EXPAT / LIFESTYLE</t>
  </si>
  <si>
    <t xml:space="preserve">Lead: Tenerife, camper van era, rebuilding life on an island. What freedom actually looks like day-to-day.</t>
  </si>
  <si>
    <t xml:space="preserve">ENTREPRENEUR / PERSONAL BRAND</t>
  </si>
  <si>
    <t xml:space="preserve">Lead: Multimillionaire at 27, lost everything at 30, rebuilt again, now building independently with AI.</t>
  </si>
  <si>
    <t xml:space="preserve">RESILIENCE / COMEBACK</t>
  </si>
  <si>
    <t xml:space="preserve">Lead: Full arc — record deal walkaway → empire → collapse → blackmail → media scandal → prayer → rebirth.</t>
  </si>
  <si>
    <t xml:space="preserve">DUTCH / EUROPEAN</t>
  </si>
  <si>
    <t xml:space="preserve">Write in Dutch. Lead: Dream or Donate crowdfunding, €6M through it, national media scandal, the Dutch connection.</t>
  </si>
  <si>
    <t xml:space="preserve">MUSIC BUSINESS</t>
  </si>
  <si>
    <t xml:space="preserve">Lead: Walked away from record deal, owns all masters, weekly AI-assisted releases, zero label zero manager.</t>
  </si>
  <si>
    <t xml:space="preserve">FOLLOW-UP QUEUE — Shows pitched 14+ days ago with no response</t>
  </si>
  <si>
    <t xml:space="preserve">Host</t>
  </si>
  <si>
    <t xml:space="preserve">Date Follow-up Due</t>
  </si>
  <si>
    <t xml:space="preserve">Email</t>
  </si>
  <si>
    <t xml:space="preserve">Sent?</t>
  </si>
  <si>
    <t xml:space="preserve">🎥 LIVESTREAMER &amp; YOUTUBE CREATOR OUTREACH — Robert-Jan Mastenbroek</t>
  </si>
  <si>
    <t xml:space="preserve">6 categories: Electronic Music | Christian Faith | Entrepreneur Mindset | Expat/Travel | Dutch Language | Comeback/Resilience</t>
  </si>
  <si>
    <t xml:space="preserve">Creator / Show</t>
  </si>
  <si>
    <t xml:space="preserve">Platform</t>
  </si>
  <si>
    <t xml:space="preserve">Est. Following</t>
  </si>
  <si>
    <t xml:space="preserve">Contact Method</t>
  </si>
  <si>
    <t xml:space="preserve">Contact Detail</t>
  </si>
  <si>
    <t xml:space="preserve">Story Angle</t>
  </si>
  <si>
    <t xml:space="preserve">Tom Bilyeu / Impact Theory</t>
  </si>
  <si>
    <t xml:space="preserve">YouTube / Podcast</t>
  </si>
  <si>
    <t xml:space="preserve">Entrepreneur &amp; Mindset</t>
  </si>
  <si>
    <t xml:space="preserve">5M+ YouTube</t>
  </si>
  <si>
    <t xml:space="preserve">Lost multimillion empire at 30 — rebuilt twice. Full arc of identity, purpose, and rebuilding from zero.</t>
  </si>
  <si>
    <t xml:space="preserve">To Contact</t>
  </si>
  <si>
    <t xml:space="preserve">Top-tier. Co-founded &amp; sold Quest Nutrition for $1B. Flagship show. High bar but perfect fit.</t>
  </si>
  <si>
    <t xml:space="preserve">Lewis Howes / School of Greatness</t>
  </si>
  <si>
    <t xml:space="preserve">2M+ YouTube, 20M+ downloads</t>
  </si>
  <si>
    <t xml:space="preserve">Contact form</t>
  </si>
  <si>
    <t xml:space="preserve">lewishowes.com/contact</t>
  </si>
  <si>
    <t xml:space="preserve">Resilience, identity, faith, full arc from zero to 290K followers. Story of surrender vs. force.</t>
  </si>
  <si>
    <t xml:space="preserve">One of biggest personal development shows globally. Story of losing everything is exactly his content.</t>
  </si>
  <si>
    <t xml:space="preserve">Ruslan KD</t>
  </si>
  <si>
    <t xml:space="preserve">YouTube</t>
  </si>
  <si>
    <t xml:space="preserve">Christian Faith &amp; Lifestyle</t>
  </si>
  <si>
    <t xml:space="preserve">100K+ subscribers</t>
  </si>
  <si>
    <t xml:space="preserve">Social media / YouTube about</t>
  </si>
  <si>
    <t xml:space="preserve">@RuslanKD on YouTube/IG</t>
  </si>
  <si>
    <t xml:space="preserve">Jesus-loving raver — faith + electronic music + culture. Unique intersection Ruslan covers.</t>
  </si>
  <si>
    <t xml:space="preserve">Christian YouTuber, hip hop artist, entrepreneur. Known for faith + culture commentary.</t>
  </si>
  <si>
    <t xml:space="preserve">Brian Romero</t>
  </si>
  <si>
    <t xml:space="preserve">260M+ total views</t>
  </si>
  <si>
    <t xml:space="preserve">YouTube about section</t>
  </si>
  <si>
    <t xml:space="preserve">Via YouTube channel contact</t>
  </si>
  <si>
    <t xml:space="preserve">Jesus-loving raver identity. Holland → Tenerife → sacred psytrance. Faith as the turning point.</t>
  </si>
  <si>
    <t xml:space="preserve">Jesus-centered content creator. Hosts live prayer streams. Large engaged faith audience.</t>
  </si>
  <si>
    <t xml:space="preserve">Awaken Your Faith (Kerrick &amp; Racquel)</t>
  </si>
  <si>
    <t xml:space="preserve">Growing, engaged</t>
  </si>
  <si>
    <t xml:space="preserve">YouTube about section / IG</t>
  </si>
  <si>
    <t xml:space="preserve">Via YouTube or Instagram</t>
  </si>
  <si>
    <t xml:space="preserve">Sacred music + faith journey. Bible-based electronic music. The 'Jesus-loving raver' angle.</t>
  </si>
  <si>
    <t xml:space="preserve">Faith lifestyle creators. Sunday streams, Bible study content. Authentic community.</t>
  </si>
  <si>
    <t xml:space="preserve">Spain Revealed (James + Yoly)</t>
  </si>
  <si>
    <t xml:space="preserve">Expat &amp; Travel Lifestyle</t>
  </si>
  <si>
    <t xml:space="preserve">300K+ subscribers</t>
  </si>
  <si>
    <t xml:space="preserve">YouTube about / website</t>
  </si>
  <si>
    <t xml:space="preserve">spainrevealed.com or YouTube about</t>
  </si>
  <si>
    <t xml:space="preserve">Dutch DJ living in south Tenerife — expat life, freedom, what staying on an island really means.</t>
  </si>
  <si>
    <t xml:space="preserve">Spain-based YouTube creators covering Spanish life, food, culture. Tenerife/Canary Islands relevant.</t>
  </si>
  <si>
    <t xml:space="preserve">Two Bad Tourists (David &amp; Austin)</t>
  </si>
  <si>
    <t xml:space="preserve">Medium, growing</t>
  </si>
  <si>
    <t xml:space="preserve">YouTube about / IG</t>
  </si>
  <si>
    <t xml:space="preserve">Tenerife expat life — from camper van to building a music career. The honest expat story.</t>
  </si>
  <si>
    <t xml:space="preserve">American expat couple in Madrid. Covers expat life in Spain honestly.</t>
  </si>
  <si>
    <t xml:space="preserve">De Bankzitters</t>
  </si>
  <si>
    <t xml:space="preserve">Dutch Language</t>
  </si>
  <si>
    <t xml:space="preserve">~2M Dutch viewers</t>
  </si>
  <si>
    <t xml:space="preserve">YouTube about / email</t>
  </si>
  <si>
    <t xml:space="preserve">Via YouTube about section</t>
  </si>
  <si>
    <t xml:space="preserve">Uniek Nederlands verhaal: Dream or Donate → faillissement → Tenerife. In Dutch.</t>
  </si>
  <si>
    <t xml:space="preserve">Kings of Dutch longform YouTube. ~300M total views. Very selective but enormous Dutch reach.</t>
  </si>
  <si>
    <t xml:space="preserve">Browney (Stan Bruininck)</t>
  </si>
  <si>
    <t xml:space="preserve">8M+ subscribers</t>
  </si>
  <si>
    <t xml:space="preserve">@browney on YouTube / IG</t>
  </si>
  <si>
    <t xml:space="preserve">Dutch persoon die alles verloor en opnieuw begon — in Tenerife, met muziek en geloof.</t>
  </si>
  <si>
    <t xml:space="preserve">Biggest Dutch YouTuber 2025 — fitness/challenge content. Probably off-brand but worth exploring.</t>
  </si>
  <si>
    <t xml:space="preserve">Twitch DJ / Live DJ category</t>
  </si>
  <si>
    <t xml:space="preserve">Twitch</t>
  </si>
  <si>
    <t xml:space="preserve">Varies</t>
  </si>
  <si>
    <t xml:space="preserve">Twitch whisper / social</t>
  </si>
  <si>
    <t xml:space="preserve">twitch.tv/directory/category/djs</t>
  </si>
  <si>
    <t xml:space="preserve">Psytrance DJ doing live sets with Bible-based lyrics. Unique content for Twitch DJ streamers.</t>
  </si>
  <si>
    <t xml:space="preserve">Research Needed</t>
  </si>
  <si>
    <t xml:space="preserve">Browse top Twitch DJ category streamers with interview/talk format. Find 3-5 targets.</t>
  </si>
  <si>
    <t xml:space="preserve">Kick.com DJ streamers</t>
  </si>
  <si>
    <t xml:space="preserve">Kick</t>
  </si>
  <si>
    <t xml:space="preserve">Kick DM / social</t>
  </si>
  <si>
    <t xml:space="preserve">kick.com/category/live-dj</t>
  </si>
  <si>
    <t xml:space="preserve">Electronic DJ with 290K IG willing to do Zoom collab streams. Cross-promo angle.</t>
  </si>
  <si>
    <t xml:space="preserve">Growing platform, less saturated than Twitch. Find DJ/interview format streamers.</t>
  </si>
  <si>
    <t xml:space="preserve">Jeff Robertson / Second Chance Podcast</t>
  </si>
  <si>
    <t xml:space="preserve">Comeback &amp; Resilience</t>
  </si>
  <si>
    <t xml:space="preserve">Via podcast contact</t>
  </si>
  <si>
    <t xml:space="preserve">Via secondchancepodcast.com or Apple Podcasts</t>
  </si>
  <si>
    <t xml:space="preserve">Full arc: empire → blackmail → zero → multiple rebuilds. Definition of a second chance.</t>
  </si>
  <si>
    <t xml:space="preserve">Former DEA officer turned motivational speaker. Second chance stories as core content.</t>
  </si>
  <si>
    <t xml:space="preserve">Noah Kagan</t>
  </si>
  <si>
    <t xml:space="preserve">1M+ YouTube</t>
  </si>
  <si>
    <t xml:space="preserve">YouTube about / AppSumo contact</t>
  </si>
  <si>
    <t xml:space="preserve">noah@noahkagan.com or noahkagan.com</t>
  </si>
  <si>
    <t xml:space="preserve">AI production workflow + fully independent model. What it actually costs to bet on yourself.</t>
  </si>
  <si>
    <t xml:space="preserve">Practical entrepreneur content. Experiments, numbers, mistakes. Ex-Facebook/Mint. Authentic voice.</t>
  </si>
  <si>
    <t xml:space="preserve">Nomad with a Notepad / expat Spain creators</t>
  </si>
  <si>
    <t xml:space="preserve">Instagram Live / YouTube</t>
  </si>
  <si>
    <t xml:space="preserve">Instagram DM / email</t>
  </si>
  <si>
    <t xml:space="preserve">Search @nomadwithanotepad or similar Spain/Tenerife creators</t>
  </si>
  <si>
    <t xml:space="preserve">Tenerife-based creator connection. Local expat community angle. Cross-promo potential.</t>
  </si>
  <si>
    <t xml:space="preserve">Search specifically for Tenerife/Canary Islands-based English content creators for cross-promo.</t>
  </si>
</sst>
</file>

<file path=xl/styles.xml><?xml version="1.0" encoding="utf-8"?>
<styleSheet xmlns="http://schemas.openxmlformats.org/spreadsheetml/2006/main">
  <numFmts count="1">
    <numFmt numFmtId="164" formatCode="General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10"/>
      <color rgb="FFAAAAAA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10"/>
      <color rgb="FFCCCCCC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A1A2E"/>
        <bgColor rgb="FF16213E"/>
      </patternFill>
    </fill>
    <fill>
      <patternFill patternType="solid">
        <fgColor rgb="FF16213E"/>
        <bgColor rgb="FF1A1A2E"/>
      </patternFill>
    </fill>
    <fill>
      <patternFill patternType="solid">
        <fgColor rgb="FFE94560"/>
        <bgColor rgb="FF993366"/>
      </patternFill>
    </fill>
    <fill>
      <patternFill patternType="solid">
        <fgColor rgb="FFD4EDDA"/>
        <bgColor rgb="FFD1ECF1"/>
      </patternFill>
    </fill>
    <fill>
      <patternFill patternType="solid">
        <fgColor rgb="FFFFF3CD"/>
        <bgColor rgb="FFFFFFFF"/>
      </patternFill>
    </fill>
    <fill>
      <patternFill patternType="solid">
        <fgColor rgb="FFD1ECF1"/>
        <bgColor rgb="FFD4EDD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2D2D2D"/>
      </left>
      <right style="thin">
        <color rgb="FF2D2D2D"/>
      </right>
      <top style="thin">
        <color rgb="FF2D2D2D"/>
      </top>
      <bottom style="thin">
        <color rgb="FF2D2D2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3CD"/>
      <rgbColor rgb="FFD1EC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4ED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94560"/>
      <rgbColor rgb="FF666666"/>
      <rgbColor rgb="FFAAAAAA"/>
      <rgbColor rgb="FF16213E"/>
      <rgbColor rgb="FF339966"/>
      <rgbColor rgb="FF003300"/>
      <rgbColor rgb="FF1A1A2E"/>
      <rgbColor rgb="FF993300"/>
      <rgbColor rgb="FF993366"/>
      <rgbColor rgb="FF333399"/>
      <rgbColor rgb="FF2D2D2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5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32"/>
    <col collapsed="false" customWidth="true" hidden="false" outlineLevel="0" max="3" min="3" style="1" width="22"/>
    <col collapsed="false" customWidth="true" hidden="false" outlineLevel="0" max="4" min="4" style="1" width="20"/>
    <col collapsed="false" customWidth="true" hidden="false" outlineLevel="0" max="6" min="5" style="1" width="14"/>
    <col collapsed="false" customWidth="true" hidden="false" outlineLevel="0" max="7" min="7" style="1" width="30"/>
    <col collapsed="false" customWidth="true" hidden="false" outlineLevel="0" max="8" min="8" style="1" width="16"/>
    <col collapsed="false" customWidth="true" hidden="false" outlineLevel="0" max="9" min="9" style="1" width="10"/>
    <col collapsed="false" customWidth="true" hidden="false" outlineLevel="0" max="10" min="10" style="1" width="13"/>
    <col collapsed="false" customWidth="true" hidden="false" outlineLevel="0" max="11" min="11" style="1" width="35"/>
    <col collapsed="false" customWidth="true" hidden="false" outlineLevel="0" max="12" min="12" style="1" width="40"/>
    <col collapsed="false" customWidth="true" hidden="false" outlineLevel="0" max="13" min="13" style="1" width="14"/>
    <col collapsed="false" customWidth="true" hidden="false" outlineLevel="0" max="14" min="14" style="1" width="40"/>
  </cols>
  <sheetData>
    <row r="1" customFormat="false" ht="36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customFormat="false" ht="15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customFormat="false" ht="6" hidden="false" customHeight="true" outlineLevel="0" collapsed="false"/>
    <row r="4" customFormat="false" ht="27.75" hidden="false" customHeight="true" outlineLevel="0" collapsed="false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  <c r="L4" s="4" t="s">
        <v>13</v>
      </c>
      <c r="M4" s="4" t="s">
        <v>14</v>
      </c>
      <c r="N4" s="4" t="s">
        <v>15</v>
      </c>
    </row>
    <row r="5" customFormat="false" ht="49.5" hidden="false" customHeight="true" outlineLevel="0" collapsed="false">
      <c r="A5" s="5" t="n">
        <v>1</v>
      </c>
      <c r="B5" s="5" t="s">
        <v>16</v>
      </c>
      <c r="C5" s="5" t="s">
        <v>17</v>
      </c>
      <c r="D5" s="5" t="s">
        <v>18</v>
      </c>
      <c r="E5" s="5" t="s">
        <v>19</v>
      </c>
      <c r="F5" s="5" t="s">
        <v>20</v>
      </c>
      <c r="G5" s="5" t="s">
        <v>21</v>
      </c>
      <c r="H5" s="5" t="s">
        <v>22</v>
      </c>
      <c r="I5" s="5" t="s">
        <v>23</v>
      </c>
      <c r="J5" s="5" t="s">
        <v>24</v>
      </c>
      <c r="K5" s="5" t="s">
        <v>25</v>
      </c>
      <c r="L5" s="5" t="s">
        <v>26</v>
      </c>
      <c r="M5" s="6" t="s">
        <v>27</v>
      </c>
      <c r="N5" s="5" t="s">
        <v>28</v>
      </c>
    </row>
    <row r="6" customFormat="false" ht="49.5" hidden="false" customHeight="true" outlineLevel="0" collapsed="false">
      <c r="A6" s="5" t="n">
        <v>2</v>
      </c>
      <c r="B6" s="5" t="s">
        <v>29</v>
      </c>
      <c r="C6" s="5" t="s">
        <v>30</v>
      </c>
      <c r="D6" s="5" t="s">
        <v>31</v>
      </c>
      <c r="E6" s="5" t="s">
        <v>32</v>
      </c>
      <c r="F6" s="5" t="s">
        <v>33</v>
      </c>
      <c r="G6" s="5" t="s">
        <v>34</v>
      </c>
      <c r="H6" s="5" t="s">
        <v>35</v>
      </c>
      <c r="I6" s="5" t="s">
        <v>23</v>
      </c>
      <c r="J6" s="5" t="s">
        <v>24</v>
      </c>
      <c r="K6" s="5" t="s">
        <v>36</v>
      </c>
      <c r="L6" s="5" t="s">
        <v>37</v>
      </c>
      <c r="M6" s="6" t="s">
        <v>27</v>
      </c>
      <c r="N6" s="5" t="s">
        <v>38</v>
      </c>
    </row>
    <row r="7" customFormat="false" ht="49.5" hidden="false" customHeight="true" outlineLevel="0" collapsed="false">
      <c r="A7" s="5" t="n">
        <v>3</v>
      </c>
      <c r="B7" s="5" t="s">
        <v>39</v>
      </c>
      <c r="C7" s="5" t="s">
        <v>40</v>
      </c>
      <c r="D7" s="5" t="s">
        <v>41</v>
      </c>
      <c r="E7" s="5" t="s">
        <v>42</v>
      </c>
      <c r="F7" s="5" t="s">
        <v>33</v>
      </c>
      <c r="G7" s="5" t="s">
        <v>43</v>
      </c>
      <c r="H7" s="5" t="s">
        <v>22</v>
      </c>
      <c r="I7" s="5" t="s">
        <v>23</v>
      </c>
      <c r="J7" s="5" t="s">
        <v>24</v>
      </c>
      <c r="K7" s="5" t="s">
        <v>44</v>
      </c>
      <c r="L7" s="5" t="s">
        <v>45</v>
      </c>
      <c r="M7" s="6" t="s">
        <v>27</v>
      </c>
      <c r="N7" s="5" t="s">
        <v>46</v>
      </c>
    </row>
    <row r="8" customFormat="false" ht="49.5" hidden="false" customHeight="true" outlineLevel="0" collapsed="false">
      <c r="A8" s="5" t="n">
        <v>4</v>
      </c>
      <c r="B8" s="5" t="s">
        <v>47</v>
      </c>
      <c r="C8" s="5" t="s">
        <v>48</v>
      </c>
      <c r="D8" s="5" t="s">
        <v>49</v>
      </c>
      <c r="E8" s="5" t="s">
        <v>50</v>
      </c>
      <c r="F8" s="5" t="s">
        <v>51</v>
      </c>
      <c r="G8" s="5" t="s">
        <v>52</v>
      </c>
      <c r="H8" s="5" t="s">
        <v>53</v>
      </c>
      <c r="I8" s="5" t="s">
        <v>54</v>
      </c>
      <c r="J8" s="5" t="s">
        <v>24</v>
      </c>
      <c r="K8" s="5" t="s">
        <v>55</v>
      </c>
      <c r="L8" s="5" t="s">
        <v>56</v>
      </c>
      <c r="M8" s="6" t="s">
        <v>27</v>
      </c>
      <c r="N8" s="5" t="s">
        <v>57</v>
      </c>
    </row>
    <row r="9" customFormat="false" ht="49.5" hidden="false" customHeight="true" outlineLevel="0" collapsed="false">
      <c r="A9" s="5" t="n">
        <v>5</v>
      </c>
      <c r="B9" s="5" t="s">
        <v>58</v>
      </c>
      <c r="C9" s="5" t="s">
        <v>59</v>
      </c>
      <c r="D9" s="5" t="s">
        <v>60</v>
      </c>
      <c r="E9" s="5" t="s">
        <v>50</v>
      </c>
      <c r="F9" s="5" t="s">
        <v>51</v>
      </c>
      <c r="G9" s="5" t="s">
        <v>61</v>
      </c>
      <c r="H9" s="5" t="s">
        <v>62</v>
      </c>
      <c r="I9" s="5" t="s">
        <v>54</v>
      </c>
      <c r="J9" s="5" t="s">
        <v>24</v>
      </c>
      <c r="K9" s="5" t="s">
        <v>63</v>
      </c>
      <c r="L9" s="5" t="s">
        <v>64</v>
      </c>
      <c r="M9" s="6" t="s">
        <v>27</v>
      </c>
      <c r="N9" s="5" t="s">
        <v>65</v>
      </c>
    </row>
    <row r="10" customFormat="false" ht="49.5" hidden="false" customHeight="true" outlineLevel="0" collapsed="false">
      <c r="A10" s="5" t="n">
        <v>6</v>
      </c>
      <c r="B10" s="5" t="s">
        <v>66</v>
      </c>
      <c r="C10" s="5" t="s">
        <v>67</v>
      </c>
      <c r="D10" s="5" t="s">
        <v>68</v>
      </c>
      <c r="E10" s="5" t="s">
        <v>69</v>
      </c>
      <c r="F10" s="5" t="s">
        <v>33</v>
      </c>
      <c r="G10" s="5" t="s">
        <v>70</v>
      </c>
      <c r="H10" s="5" t="s">
        <v>71</v>
      </c>
      <c r="I10" s="5" t="s">
        <v>23</v>
      </c>
      <c r="J10" s="5" t="s">
        <v>24</v>
      </c>
      <c r="K10" s="5" t="s">
        <v>72</v>
      </c>
      <c r="L10" s="5" t="s">
        <v>73</v>
      </c>
      <c r="M10" s="6" t="s">
        <v>27</v>
      </c>
      <c r="N10" s="5" t="s">
        <v>74</v>
      </c>
    </row>
    <row r="11" customFormat="false" ht="49.5" hidden="false" customHeight="true" outlineLevel="0" collapsed="false">
      <c r="A11" s="5" t="n">
        <v>7</v>
      </c>
      <c r="B11" s="5" t="s">
        <v>75</v>
      </c>
      <c r="C11" s="5" t="s">
        <v>76</v>
      </c>
      <c r="D11" s="5" t="s">
        <v>77</v>
      </c>
      <c r="E11" s="5" t="s">
        <v>78</v>
      </c>
      <c r="F11" s="5" t="s">
        <v>79</v>
      </c>
      <c r="G11" s="5" t="s">
        <v>80</v>
      </c>
      <c r="H11" s="5" t="s">
        <v>81</v>
      </c>
      <c r="I11" s="5" t="s">
        <v>23</v>
      </c>
      <c r="J11" s="5" t="s">
        <v>24</v>
      </c>
      <c r="K11" s="5" t="s">
        <v>82</v>
      </c>
      <c r="L11" s="5" t="s">
        <v>83</v>
      </c>
      <c r="M11" s="6" t="s">
        <v>27</v>
      </c>
      <c r="N11" s="5" t="s">
        <v>84</v>
      </c>
    </row>
    <row r="12" customFormat="false" ht="49.5" hidden="false" customHeight="true" outlineLevel="0" collapsed="false">
      <c r="A12" s="5" t="n">
        <v>8</v>
      </c>
      <c r="B12" s="5" t="s">
        <v>85</v>
      </c>
      <c r="C12" s="5" t="s">
        <v>86</v>
      </c>
      <c r="D12" s="5" t="s">
        <v>60</v>
      </c>
      <c r="E12" s="5" t="s">
        <v>87</v>
      </c>
      <c r="F12" s="5" t="s">
        <v>79</v>
      </c>
      <c r="G12" s="5" t="s">
        <v>88</v>
      </c>
      <c r="H12" s="5" t="s">
        <v>89</v>
      </c>
      <c r="I12" s="5" t="s">
        <v>90</v>
      </c>
      <c r="J12" s="5" t="s">
        <v>24</v>
      </c>
      <c r="K12" s="5" t="s">
        <v>91</v>
      </c>
      <c r="L12" s="5" t="s">
        <v>92</v>
      </c>
      <c r="M12" s="7" t="s">
        <v>93</v>
      </c>
      <c r="N12" s="5" t="s">
        <v>94</v>
      </c>
    </row>
    <row r="13" customFormat="false" ht="49.5" hidden="false" customHeight="true" outlineLevel="0" collapsed="false">
      <c r="A13" s="5" t="n">
        <v>9</v>
      </c>
      <c r="B13" s="5" t="s">
        <v>95</v>
      </c>
      <c r="C13" s="5" t="s">
        <v>96</v>
      </c>
      <c r="D13" s="5" t="s">
        <v>49</v>
      </c>
      <c r="E13" s="5" t="s">
        <v>97</v>
      </c>
      <c r="F13" s="5" t="s">
        <v>98</v>
      </c>
      <c r="G13" s="5" t="s">
        <v>99</v>
      </c>
      <c r="H13" s="5" t="s">
        <v>22</v>
      </c>
      <c r="I13" s="5" t="s">
        <v>90</v>
      </c>
      <c r="J13" s="5" t="s">
        <v>24</v>
      </c>
      <c r="K13" s="5" t="s">
        <v>100</v>
      </c>
      <c r="L13" s="5" t="s">
        <v>101</v>
      </c>
      <c r="M13" s="7" t="s">
        <v>93</v>
      </c>
      <c r="N13" s="5" t="s">
        <v>102</v>
      </c>
    </row>
    <row r="14" customFormat="false" ht="49.5" hidden="false" customHeight="true" outlineLevel="0" collapsed="false">
      <c r="A14" s="5" t="n">
        <v>10</v>
      </c>
      <c r="B14" s="5" t="s">
        <v>103</v>
      </c>
      <c r="C14" s="5" t="s">
        <v>104</v>
      </c>
      <c r="D14" s="5" t="s">
        <v>49</v>
      </c>
      <c r="E14" s="5" t="s">
        <v>105</v>
      </c>
      <c r="F14" s="5" t="s">
        <v>51</v>
      </c>
      <c r="G14" s="5" t="s">
        <v>106</v>
      </c>
      <c r="H14" s="5" t="s">
        <v>107</v>
      </c>
      <c r="I14" s="5" t="s">
        <v>108</v>
      </c>
      <c r="J14" s="5" t="s">
        <v>24</v>
      </c>
      <c r="K14" s="5" t="s">
        <v>109</v>
      </c>
      <c r="L14" s="5" t="s">
        <v>110</v>
      </c>
      <c r="M14" s="7" t="s">
        <v>93</v>
      </c>
      <c r="N14" s="5" t="s">
        <v>111</v>
      </c>
    </row>
    <row r="15" customFormat="false" ht="49.5" hidden="false" customHeight="true" outlineLevel="0" collapsed="false">
      <c r="A15" s="5" t="n">
        <v>11</v>
      </c>
      <c r="B15" s="5" t="s">
        <v>112</v>
      </c>
      <c r="C15" s="5" t="s">
        <v>113</v>
      </c>
      <c r="D15" s="5" t="s">
        <v>49</v>
      </c>
      <c r="E15" s="5" t="s">
        <v>50</v>
      </c>
      <c r="F15" s="5" t="s">
        <v>51</v>
      </c>
      <c r="G15" s="5" t="s">
        <v>114</v>
      </c>
      <c r="H15" s="5" t="s">
        <v>115</v>
      </c>
      <c r="I15" s="5" t="s">
        <v>90</v>
      </c>
      <c r="J15" s="5" t="s">
        <v>24</v>
      </c>
      <c r="K15" s="5" t="s">
        <v>116</v>
      </c>
      <c r="L15" s="5" t="s">
        <v>117</v>
      </c>
      <c r="M15" s="7" t="s">
        <v>93</v>
      </c>
      <c r="N15" s="5"/>
    </row>
    <row r="16" customFormat="false" ht="49.5" hidden="false" customHeight="true" outlineLevel="0" collapsed="false">
      <c r="A16" s="5" t="n">
        <v>12</v>
      </c>
      <c r="B16" s="5" t="s">
        <v>118</v>
      </c>
      <c r="C16" s="5" t="s">
        <v>119</v>
      </c>
      <c r="D16" s="5" t="s">
        <v>77</v>
      </c>
      <c r="E16" s="5" t="s">
        <v>120</v>
      </c>
      <c r="F16" s="5" t="s">
        <v>121</v>
      </c>
      <c r="G16" s="5" t="s">
        <v>122</v>
      </c>
      <c r="H16" s="5" t="s">
        <v>123</v>
      </c>
      <c r="I16" s="5" t="s">
        <v>124</v>
      </c>
      <c r="J16" s="5" t="s">
        <v>24</v>
      </c>
      <c r="K16" s="5" t="s">
        <v>125</v>
      </c>
      <c r="L16" s="5" t="s">
        <v>126</v>
      </c>
      <c r="M16" s="7" t="s">
        <v>93</v>
      </c>
      <c r="N16" s="5" t="s">
        <v>127</v>
      </c>
    </row>
    <row r="17" customFormat="false" ht="23.25" hidden="false" customHeight="true" outlineLevel="0" collapsed="false">
      <c r="A17" s="8" t="n">
        <v>13</v>
      </c>
      <c r="B17" s="8" t="s">
        <v>128</v>
      </c>
      <c r="C17" s="8" t="s">
        <v>129</v>
      </c>
      <c r="D17" s="8" t="s">
        <v>130</v>
      </c>
      <c r="E17" s="8" t="s">
        <v>131</v>
      </c>
      <c r="F17" s="8" t="s">
        <v>132</v>
      </c>
      <c r="G17" s="8" t="s">
        <v>133</v>
      </c>
      <c r="H17" s="8" t="s">
        <v>22</v>
      </c>
      <c r="I17" s="8" t="s">
        <v>23</v>
      </c>
      <c r="J17" s="8" t="s">
        <v>24</v>
      </c>
      <c r="K17" s="8" t="s">
        <v>134</v>
      </c>
      <c r="L17" s="8" t="s">
        <v>135</v>
      </c>
      <c r="M17" s="8" t="s">
        <v>27</v>
      </c>
      <c r="N17" s="8" t="s">
        <v>136</v>
      </c>
    </row>
    <row r="18" customFormat="false" ht="34.5" hidden="false" customHeight="true" outlineLevel="0" collapsed="false">
      <c r="A18" s="8" t="n">
        <v>14</v>
      </c>
      <c r="B18" s="8" t="s">
        <v>137</v>
      </c>
      <c r="C18" s="8" t="s">
        <v>129</v>
      </c>
      <c r="D18" s="8" t="s">
        <v>130</v>
      </c>
      <c r="E18" s="8" t="s">
        <v>138</v>
      </c>
      <c r="F18" s="8" t="s">
        <v>132</v>
      </c>
      <c r="G18" s="8" t="s">
        <v>139</v>
      </c>
      <c r="H18" s="8" t="s">
        <v>22</v>
      </c>
      <c r="I18" s="8" t="s">
        <v>23</v>
      </c>
      <c r="J18" s="8" t="s">
        <v>24</v>
      </c>
      <c r="K18" s="8" t="s">
        <v>140</v>
      </c>
      <c r="L18" s="8" t="s">
        <v>141</v>
      </c>
      <c r="M18" s="8" t="s">
        <v>27</v>
      </c>
      <c r="N18" s="8" t="s">
        <v>142</v>
      </c>
    </row>
    <row r="19" customFormat="false" ht="23.25" hidden="false" customHeight="true" outlineLevel="0" collapsed="false">
      <c r="A19" s="8" t="n">
        <v>15</v>
      </c>
      <c r="B19" s="8" t="s">
        <v>143</v>
      </c>
      <c r="C19" s="8" t="s">
        <v>129</v>
      </c>
      <c r="D19" s="8" t="s">
        <v>130</v>
      </c>
      <c r="E19" s="8" t="s">
        <v>144</v>
      </c>
      <c r="F19" s="8" t="s">
        <v>132</v>
      </c>
      <c r="G19" s="8" t="s">
        <v>145</v>
      </c>
      <c r="H19" s="8" t="s">
        <v>146</v>
      </c>
      <c r="I19" s="8" t="s">
        <v>23</v>
      </c>
      <c r="J19" s="8" t="s">
        <v>24</v>
      </c>
      <c r="K19" s="8" t="s">
        <v>147</v>
      </c>
      <c r="L19" s="8" t="s">
        <v>148</v>
      </c>
      <c r="M19" s="8" t="s">
        <v>27</v>
      </c>
      <c r="N19" s="8" t="s">
        <v>149</v>
      </c>
    </row>
    <row r="20" customFormat="false" ht="34.5" hidden="false" customHeight="true" outlineLevel="0" collapsed="false">
      <c r="A20" s="8" t="n">
        <v>16</v>
      </c>
      <c r="B20" s="8" t="s">
        <v>150</v>
      </c>
      <c r="C20" s="8" t="s">
        <v>129</v>
      </c>
      <c r="D20" s="8" t="s">
        <v>130</v>
      </c>
      <c r="E20" s="8" t="s">
        <v>151</v>
      </c>
      <c r="F20" s="8" t="s">
        <v>132</v>
      </c>
      <c r="G20" s="8" t="s">
        <v>152</v>
      </c>
      <c r="H20" s="8" t="s">
        <v>22</v>
      </c>
      <c r="I20" s="8" t="s">
        <v>23</v>
      </c>
      <c r="J20" s="8" t="s">
        <v>24</v>
      </c>
      <c r="K20" s="8" t="s">
        <v>153</v>
      </c>
      <c r="L20" s="8" t="s">
        <v>154</v>
      </c>
      <c r="M20" s="8" t="s">
        <v>27</v>
      </c>
      <c r="N20" s="8" t="s">
        <v>155</v>
      </c>
    </row>
    <row r="21" customFormat="false" ht="23.25" hidden="false" customHeight="true" outlineLevel="0" collapsed="false">
      <c r="A21" s="8" t="n">
        <v>17</v>
      </c>
      <c r="B21" s="8" t="s">
        <v>156</v>
      </c>
      <c r="C21" s="8" t="s">
        <v>157</v>
      </c>
      <c r="D21" s="8" t="s">
        <v>49</v>
      </c>
      <c r="E21" s="8" t="s">
        <v>87</v>
      </c>
      <c r="F21" s="8" t="s">
        <v>33</v>
      </c>
      <c r="G21" s="8" t="s">
        <v>158</v>
      </c>
      <c r="H21" s="8" t="s">
        <v>35</v>
      </c>
      <c r="I21" s="8" t="s">
        <v>23</v>
      </c>
      <c r="J21" s="8" t="s">
        <v>24</v>
      </c>
      <c r="K21" s="8" t="s">
        <v>159</v>
      </c>
      <c r="L21" s="8" t="s">
        <v>160</v>
      </c>
      <c r="M21" s="8" t="s">
        <v>27</v>
      </c>
      <c r="N21" s="8" t="s">
        <v>161</v>
      </c>
    </row>
    <row r="22" customFormat="false" ht="34.5" hidden="false" customHeight="true" outlineLevel="0" collapsed="false">
      <c r="A22" s="8" t="n">
        <v>18</v>
      </c>
      <c r="B22" s="8" t="s">
        <v>118</v>
      </c>
      <c r="C22" s="8" t="s">
        <v>162</v>
      </c>
      <c r="D22" s="8" t="s">
        <v>163</v>
      </c>
      <c r="E22" s="8" t="s">
        <v>164</v>
      </c>
      <c r="F22" s="8" t="s">
        <v>20</v>
      </c>
      <c r="G22" s="8" t="s">
        <v>165</v>
      </c>
      <c r="H22" s="8" t="s">
        <v>53</v>
      </c>
      <c r="I22" s="8" t="s">
        <v>54</v>
      </c>
      <c r="J22" s="8" t="s">
        <v>24</v>
      </c>
      <c r="K22" s="8" t="s">
        <v>166</v>
      </c>
      <c r="L22" s="8" t="s">
        <v>167</v>
      </c>
      <c r="M22" s="8" t="s">
        <v>27</v>
      </c>
      <c r="N22" s="8" t="s">
        <v>168</v>
      </c>
    </row>
    <row r="23" customFormat="false" ht="23.25" hidden="false" customHeight="true" outlineLevel="0" collapsed="false">
      <c r="A23" s="8" t="n">
        <v>19</v>
      </c>
      <c r="B23" s="8" t="s">
        <v>169</v>
      </c>
      <c r="C23" s="8" t="s">
        <v>170</v>
      </c>
      <c r="D23" s="8" t="s">
        <v>18</v>
      </c>
      <c r="E23" s="8" t="s">
        <v>50</v>
      </c>
      <c r="F23" s="8" t="s">
        <v>33</v>
      </c>
      <c r="G23" s="8" t="s">
        <v>171</v>
      </c>
      <c r="H23" s="8" t="s">
        <v>172</v>
      </c>
      <c r="I23" s="8" t="s">
        <v>23</v>
      </c>
      <c r="J23" s="8" t="s">
        <v>24</v>
      </c>
      <c r="K23" s="8" t="s">
        <v>173</v>
      </c>
      <c r="L23" s="8" t="s">
        <v>174</v>
      </c>
      <c r="M23" s="8" t="s">
        <v>27</v>
      </c>
      <c r="N23" s="8" t="s">
        <v>175</v>
      </c>
    </row>
    <row r="24" customFormat="false" ht="23.25" hidden="false" customHeight="true" outlineLevel="0" collapsed="false">
      <c r="A24" s="8" t="n">
        <v>20</v>
      </c>
      <c r="B24" s="8" t="s">
        <v>176</v>
      </c>
      <c r="C24" s="8" t="s">
        <v>177</v>
      </c>
      <c r="D24" s="8" t="s">
        <v>163</v>
      </c>
      <c r="E24" s="8" t="s">
        <v>178</v>
      </c>
      <c r="F24" s="8" t="s">
        <v>20</v>
      </c>
      <c r="G24" s="8" t="s">
        <v>179</v>
      </c>
      <c r="H24" s="8" t="s">
        <v>22</v>
      </c>
      <c r="I24" s="8" t="s">
        <v>23</v>
      </c>
      <c r="J24" s="8" t="s">
        <v>24</v>
      </c>
      <c r="K24" s="8" t="s">
        <v>180</v>
      </c>
      <c r="L24" s="8" t="s">
        <v>181</v>
      </c>
      <c r="M24" s="8" t="s">
        <v>27</v>
      </c>
      <c r="N24" s="8" t="s">
        <v>182</v>
      </c>
    </row>
    <row r="25" customFormat="false" ht="23.25" hidden="false" customHeight="true" outlineLevel="0" collapsed="false">
      <c r="A25" s="8" t="n">
        <v>21</v>
      </c>
      <c r="B25" s="8" t="s">
        <v>183</v>
      </c>
      <c r="C25" s="8" t="s">
        <v>184</v>
      </c>
      <c r="D25" s="8" t="s">
        <v>60</v>
      </c>
      <c r="E25" s="8" t="s">
        <v>178</v>
      </c>
      <c r="F25" s="8" t="s">
        <v>33</v>
      </c>
      <c r="G25" s="8" t="s">
        <v>185</v>
      </c>
      <c r="H25" s="8" t="s">
        <v>186</v>
      </c>
      <c r="I25" s="8" t="s">
        <v>23</v>
      </c>
      <c r="J25" s="8" t="s">
        <v>24</v>
      </c>
      <c r="K25" s="8" t="s">
        <v>187</v>
      </c>
      <c r="L25" s="8" t="s">
        <v>188</v>
      </c>
      <c r="M25" s="8" t="s">
        <v>27</v>
      </c>
      <c r="N25" s="8" t="s">
        <v>189</v>
      </c>
    </row>
    <row r="26" customFormat="false" ht="23.25" hidden="false" customHeight="true" outlineLevel="0" collapsed="false">
      <c r="A26" s="8" t="n">
        <v>22</v>
      </c>
      <c r="B26" s="8" t="s">
        <v>190</v>
      </c>
      <c r="C26" s="8" t="s">
        <v>157</v>
      </c>
      <c r="D26" s="8" t="s">
        <v>49</v>
      </c>
      <c r="E26" s="8" t="s">
        <v>50</v>
      </c>
      <c r="F26" s="8" t="s">
        <v>51</v>
      </c>
      <c r="G26" s="8" t="s">
        <v>191</v>
      </c>
      <c r="H26" s="8" t="s">
        <v>53</v>
      </c>
      <c r="I26" s="8" t="s">
        <v>54</v>
      </c>
      <c r="J26" s="8" t="s">
        <v>24</v>
      </c>
      <c r="K26" s="8" t="s">
        <v>192</v>
      </c>
      <c r="L26" s="8" t="s">
        <v>193</v>
      </c>
      <c r="M26" s="8" t="s">
        <v>27</v>
      </c>
      <c r="N26" s="8" t="s">
        <v>194</v>
      </c>
    </row>
    <row r="27" customFormat="false" ht="23.25" hidden="false" customHeight="true" outlineLevel="0" collapsed="false">
      <c r="A27" s="8" t="n">
        <v>23</v>
      </c>
      <c r="B27" s="8" t="s">
        <v>195</v>
      </c>
      <c r="C27" s="8" t="s">
        <v>196</v>
      </c>
      <c r="D27" s="8" t="s">
        <v>41</v>
      </c>
      <c r="E27" s="8" t="s">
        <v>197</v>
      </c>
      <c r="F27" s="8" t="s">
        <v>33</v>
      </c>
      <c r="G27" s="8" t="s">
        <v>198</v>
      </c>
      <c r="H27" s="8" t="s">
        <v>22</v>
      </c>
      <c r="I27" s="8" t="s">
        <v>23</v>
      </c>
      <c r="J27" s="8" t="s">
        <v>24</v>
      </c>
      <c r="K27" s="8" t="s">
        <v>199</v>
      </c>
      <c r="L27" s="8" t="s">
        <v>200</v>
      </c>
      <c r="M27" s="8" t="s">
        <v>27</v>
      </c>
      <c r="N27" s="8" t="s">
        <v>201</v>
      </c>
    </row>
    <row r="28" customFormat="false" ht="23.25" hidden="false" customHeight="true" outlineLevel="0" collapsed="false">
      <c r="A28" s="8" t="n">
        <v>24</v>
      </c>
      <c r="B28" s="8" t="s">
        <v>202</v>
      </c>
      <c r="C28" s="8" t="s">
        <v>203</v>
      </c>
      <c r="D28" s="8" t="s">
        <v>163</v>
      </c>
      <c r="E28" s="8" t="s">
        <v>204</v>
      </c>
      <c r="F28" s="8" t="s">
        <v>33</v>
      </c>
      <c r="G28" s="8" t="s">
        <v>205</v>
      </c>
      <c r="H28" s="8" t="s">
        <v>22</v>
      </c>
      <c r="I28" s="8" t="s">
        <v>23</v>
      </c>
      <c r="J28" s="8" t="s">
        <v>24</v>
      </c>
      <c r="K28" s="8" t="s">
        <v>206</v>
      </c>
      <c r="L28" s="8" t="s">
        <v>207</v>
      </c>
      <c r="M28" s="8" t="s">
        <v>27</v>
      </c>
      <c r="N28" s="8" t="s">
        <v>208</v>
      </c>
    </row>
    <row r="29" customFormat="false" ht="23.25" hidden="false" customHeight="true" outlineLevel="0" collapsed="false">
      <c r="A29" s="8" t="n">
        <v>25</v>
      </c>
      <c r="B29" s="8" t="s">
        <v>209</v>
      </c>
      <c r="C29" s="8" t="s">
        <v>210</v>
      </c>
      <c r="D29" s="8" t="s">
        <v>18</v>
      </c>
      <c r="E29" s="8" t="s">
        <v>50</v>
      </c>
      <c r="F29" s="8" t="s">
        <v>33</v>
      </c>
      <c r="G29" s="8" t="s">
        <v>211</v>
      </c>
      <c r="H29" s="8" t="s">
        <v>212</v>
      </c>
      <c r="I29" s="8" t="s">
        <v>23</v>
      </c>
      <c r="J29" s="8" t="s">
        <v>24</v>
      </c>
      <c r="K29" s="8" t="s">
        <v>213</v>
      </c>
      <c r="L29" s="8" t="s">
        <v>214</v>
      </c>
      <c r="M29" s="8" t="s">
        <v>27</v>
      </c>
      <c r="N29" s="8" t="s">
        <v>215</v>
      </c>
    </row>
    <row r="30" customFormat="false" ht="23.25" hidden="false" customHeight="true" outlineLevel="0" collapsed="false">
      <c r="A30" s="8" t="n">
        <v>26</v>
      </c>
      <c r="B30" s="8" t="s">
        <v>216</v>
      </c>
      <c r="C30" s="8" t="s">
        <v>203</v>
      </c>
      <c r="D30" s="8" t="s">
        <v>217</v>
      </c>
      <c r="E30" s="8" t="s">
        <v>218</v>
      </c>
      <c r="F30" s="8" t="s">
        <v>33</v>
      </c>
      <c r="G30" s="8" t="s">
        <v>157</v>
      </c>
      <c r="H30" s="8" t="s">
        <v>219</v>
      </c>
      <c r="I30" s="8" t="s">
        <v>157</v>
      </c>
      <c r="J30" s="8" t="s">
        <v>24</v>
      </c>
      <c r="K30" s="8" t="s">
        <v>220</v>
      </c>
      <c r="L30" s="8" t="s">
        <v>221</v>
      </c>
      <c r="M30" s="8" t="s">
        <v>27</v>
      </c>
      <c r="N30" s="8" t="s">
        <v>222</v>
      </c>
    </row>
    <row r="31" customFormat="false" ht="23.25" hidden="false" customHeight="true" outlineLevel="0" collapsed="false">
      <c r="A31" s="8" t="n">
        <v>27</v>
      </c>
      <c r="B31" s="8" t="s">
        <v>223</v>
      </c>
      <c r="C31" s="8" t="s">
        <v>224</v>
      </c>
      <c r="D31" s="8" t="s">
        <v>225</v>
      </c>
      <c r="E31" s="8" t="s">
        <v>50</v>
      </c>
      <c r="F31" s="8" t="s">
        <v>33</v>
      </c>
      <c r="G31" s="8" t="s">
        <v>157</v>
      </c>
      <c r="H31" s="8" t="s">
        <v>219</v>
      </c>
      <c r="I31" s="8" t="s">
        <v>157</v>
      </c>
      <c r="J31" s="8" t="s">
        <v>24</v>
      </c>
      <c r="K31" s="8" t="s">
        <v>226</v>
      </c>
      <c r="L31" s="8" t="s">
        <v>227</v>
      </c>
      <c r="M31" s="8" t="s">
        <v>27</v>
      </c>
      <c r="N31" s="8" t="s">
        <v>228</v>
      </c>
    </row>
    <row r="32" customFormat="false" ht="23.25" hidden="false" customHeight="true" outlineLevel="0" collapsed="false">
      <c r="A32" s="8" t="n">
        <v>28</v>
      </c>
      <c r="B32" s="8" t="s">
        <v>229</v>
      </c>
      <c r="C32" s="8" t="s">
        <v>157</v>
      </c>
      <c r="D32" s="8" t="s">
        <v>49</v>
      </c>
      <c r="E32" s="8" t="s">
        <v>50</v>
      </c>
      <c r="F32" s="8" t="s">
        <v>33</v>
      </c>
      <c r="G32" s="8" t="s">
        <v>230</v>
      </c>
      <c r="H32" s="8" t="s">
        <v>53</v>
      </c>
      <c r="I32" s="8" t="s">
        <v>23</v>
      </c>
      <c r="J32" s="8" t="s">
        <v>231</v>
      </c>
      <c r="K32" s="8" t="s">
        <v>232</v>
      </c>
      <c r="L32" s="8" t="s">
        <v>233</v>
      </c>
      <c r="M32" s="8" t="s">
        <v>27</v>
      </c>
      <c r="N32" s="8" t="s">
        <v>234</v>
      </c>
    </row>
    <row r="33" customFormat="false" ht="23.25" hidden="false" customHeight="true" outlineLevel="0" collapsed="false">
      <c r="A33" s="8" t="n">
        <v>29</v>
      </c>
      <c r="B33" s="8" t="s">
        <v>235</v>
      </c>
      <c r="C33" s="8" t="s">
        <v>157</v>
      </c>
      <c r="D33" s="8" t="s">
        <v>49</v>
      </c>
      <c r="E33" s="8" t="s">
        <v>50</v>
      </c>
      <c r="F33" s="8" t="s">
        <v>33</v>
      </c>
      <c r="G33" s="8" t="s">
        <v>236</v>
      </c>
      <c r="H33" s="8" t="s">
        <v>22</v>
      </c>
      <c r="I33" s="8" t="s">
        <v>23</v>
      </c>
      <c r="J33" s="8" t="s">
        <v>231</v>
      </c>
      <c r="K33" s="8" t="s">
        <v>237</v>
      </c>
      <c r="L33" s="8" t="s">
        <v>238</v>
      </c>
      <c r="M33" s="8" t="s">
        <v>27</v>
      </c>
      <c r="N33" s="8" t="s">
        <v>239</v>
      </c>
    </row>
    <row r="34" customFormat="false" ht="23.25" hidden="false" customHeight="true" outlineLevel="0" collapsed="false">
      <c r="A34" s="8" t="n">
        <v>30</v>
      </c>
      <c r="B34" s="8" t="s">
        <v>240</v>
      </c>
      <c r="C34" s="8" t="s">
        <v>241</v>
      </c>
      <c r="D34" s="8" t="s">
        <v>60</v>
      </c>
      <c r="E34" s="8" t="s">
        <v>50</v>
      </c>
      <c r="F34" s="8" t="s">
        <v>33</v>
      </c>
      <c r="G34" s="8" t="s">
        <v>242</v>
      </c>
      <c r="H34" s="8" t="s">
        <v>186</v>
      </c>
      <c r="I34" s="8" t="s">
        <v>23</v>
      </c>
      <c r="J34" s="8" t="s">
        <v>231</v>
      </c>
      <c r="K34" s="8" t="s">
        <v>243</v>
      </c>
      <c r="L34" s="8" t="s">
        <v>244</v>
      </c>
      <c r="M34" s="8" t="s">
        <v>27</v>
      </c>
      <c r="N34" s="8" t="s">
        <v>245</v>
      </c>
    </row>
    <row r="35" customFormat="false" ht="34.5" hidden="false" customHeight="true" outlineLevel="0" collapsed="false">
      <c r="A35" s="8" t="n">
        <v>31</v>
      </c>
      <c r="B35" s="8" t="s">
        <v>246</v>
      </c>
      <c r="C35" s="8" t="s">
        <v>203</v>
      </c>
      <c r="D35" s="8" t="s">
        <v>18</v>
      </c>
      <c r="E35" s="8" t="s">
        <v>50</v>
      </c>
      <c r="F35" s="8" t="s">
        <v>33</v>
      </c>
      <c r="G35" s="8" t="s">
        <v>247</v>
      </c>
      <c r="H35" s="8" t="s">
        <v>53</v>
      </c>
      <c r="I35" s="8" t="s">
        <v>54</v>
      </c>
      <c r="J35" s="8" t="s">
        <v>231</v>
      </c>
      <c r="K35" s="8" t="s">
        <v>248</v>
      </c>
      <c r="L35" s="8" t="s">
        <v>249</v>
      </c>
      <c r="M35" s="8" t="s">
        <v>27</v>
      </c>
      <c r="N35" s="8" t="s">
        <v>250</v>
      </c>
    </row>
    <row r="36" customFormat="false" ht="23.25" hidden="false" customHeight="true" outlineLevel="0" collapsed="false">
      <c r="A36" s="8" t="n">
        <v>32</v>
      </c>
      <c r="B36" s="8" t="s">
        <v>251</v>
      </c>
      <c r="C36" s="8" t="s">
        <v>157</v>
      </c>
      <c r="D36" s="8" t="s">
        <v>41</v>
      </c>
      <c r="E36" s="8" t="s">
        <v>252</v>
      </c>
      <c r="F36" s="8" t="s">
        <v>33</v>
      </c>
      <c r="G36" s="8" t="s">
        <v>253</v>
      </c>
      <c r="H36" s="8" t="s">
        <v>22</v>
      </c>
      <c r="I36" s="8" t="s">
        <v>23</v>
      </c>
      <c r="J36" s="8" t="s">
        <v>231</v>
      </c>
      <c r="K36" s="8" t="s">
        <v>254</v>
      </c>
      <c r="L36" s="8" t="s">
        <v>255</v>
      </c>
      <c r="M36" s="8" t="s">
        <v>27</v>
      </c>
      <c r="N36" s="8" t="s">
        <v>256</v>
      </c>
    </row>
    <row r="37" customFormat="false" ht="23.25" hidden="false" customHeight="true" outlineLevel="0" collapsed="false">
      <c r="A37" s="8" t="n">
        <v>33</v>
      </c>
      <c r="B37" s="8" t="s">
        <v>257</v>
      </c>
      <c r="C37" s="8" t="s">
        <v>157</v>
      </c>
      <c r="D37" s="8" t="s">
        <v>41</v>
      </c>
      <c r="E37" s="8" t="s">
        <v>258</v>
      </c>
      <c r="F37" s="8" t="s">
        <v>33</v>
      </c>
      <c r="G37" s="8" t="s">
        <v>259</v>
      </c>
      <c r="H37" s="8" t="s">
        <v>260</v>
      </c>
      <c r="I37" s="8" t="s">
        <v>23</v>
      </c>
      <c r="J37" s="8" t="s">
        <v>231</v>
      </c>
      <c r="K37" s="8" t="s">
        <v>261</v>
      </c>
      <c r="L37" s="8" t="s">
        <v>262</v>
      </c>
      <c r="M37" s="8" t="s">
        <v>27</v>
      </c>
      <c r="N37" s="8" t="s">
        <v>263</v>
      </c>
    </row>
    <row r="38" customFormat="false" ht="23.25" hidden="false" customHeight="true" outlineLevel="0" collapsed="false">
      <c r="A38" s="8" t="n">
        <v>34</v>
      </c>
      <c r="B38" s="8" t="s">
        <v>264</v>
      </c>
      <c r="C38" s="8" t="s">
        <v>157</v>
      </c>
      <c r="D38" s="8" t="s">
        <v>68</v>
      </c>
      <c r="E38" s="8" t="s">
        <v>50</v>
      </c>
      <c r="F38" s="8" t="s">
        <v>33</v>
      </c>
      <c r="G38" s="8" t="s">
        <v>265</v>
      </c>
      <c r="H38" s="8" t="s">
        <v>266</v>
      </c>
      <c r="I38" s="8" t="s">
        <v>23</v>
      </c>
      <c r="J38" s="8" t="s">
        <v>231</v>
      </c>
      <c r="K38" s="8" t="s">
        <v>267</v>
      </c>
      <c r="L38" s="8" t="s">
        <v>268</v>
      </c>
      <c r="M38" s="8" t="s">
        <v>27</v>
      </c>
      <c r="N38" s="8" t="s">
        <v>269</v>
      </c>
    </row>
    <row r="39" customFormat="false" ht="34.5" hidden="false" customHeight="true" outlineLevel="0" collapsed="false">
      <c r="A39" s="8" t="n">
        <v>35</v>
      </c>
      <c r="B39" s="8" t="s">
        <v>270</v>
      </c>
      <c r="C39" s="8" t="s">
        <v>157</v>
      </c>
      <c r="D39" s="8" t="s">
        <v>163</v>
      </c>
      <c r="E39" s="8" t="s">
        <v>87</v>
      </c>
      <c r="F39" s="8" t="s">
        <v>33</v>
      </c>
      <c r="G39" s="8" t="s">
        <v>271</v>
      </c>
      <c r="H39" s="8" t="s">
        <v>22</v>
      </c>
      <c r="I39" s="8" t="s">
        <v>23</v>
      </c>
      <c r="J39" s="8" t="s">
        <v>231</v>
      </c>
      <c r="K39" s="8" t="s">
        <v>272</v>
      </c>
      <c r="L39" s="8" t="s">
        <v>273</v>
      </c>
      <c r="M39" s="8" t="s">
        <v>27</v>
      </c>
      <c r="N39" s="8" t="s">
        <v>274</v>
      </c>
    </row>
    <row r="40" customFormat="false" ht="23.25" hidden="false" customHeight="true" outlineLevel="0" collapsed="false">
      <c r="A40" s="8" t="n">
        <v>36</v>
      </c>
      <c r="B40" s="8" t="s">
        <v>275</v>
      </c>
      <c r="C40" s="8" t="s">
        <v>157</v>
      </c>
      <c r="D40" s="8" t="s">
        <v>41</v>
      </c>
      <c r="E40" s="8" t="s">
        <v>276</v>
      </c>
      <c r="F40" s="8" t="s">
        <v>33</v>
      </c>
      <c r="G40" s="8" t="s">
        <v>277</v>
      </c>
      <c r="H40" s="8" t="s">
        <v>22</v>
      </c>
      <c r="I40" s="8" t="s">
        <v>23</v>
      </c>
      <c r="J40" s="8" t="s">
        <v>231</v>
      </c>
      <c r="K40" s="8" t="s">
        <v>278</v>
      </c>
      <c r="L40" s="8" t="s">
        <v>279</v>
      </c>
      <c r="M40" s="8" t="s">
        <v>27</v>
      </c>
      <c r="N40" s="8" t="s">
        <v>280</v>
      </c>
    </row>
    <row r="41" customFormat="false" ht="23.25" hidden="false" customHeight="true" outlineLevel="0" collapsed="false">
      <c r="A41" s="8" t="n">
        <v>37</v>
      </c>
      <c r="B41" s="8" t="s">
        <v>281</v>
      </c>
      <c r="C41" s="8" t="s">
        <v>282</v>
      </c>
      <c r="D41" s="8" t="s">
        <v>41</v>
      </c>
      <c r="E41" s="8" t="s">
        <v>283</v>
      </c>
      <c r="F41" s="8" t="s">
        <v>33</v>
      </c>
      <c r="G41" s="8" t="s">
        <v>284</v>
      </c>
      <c r="H41" s="8" t="s">
        <v>285</v>
      </c>
      <c r="I41" s="8" t="s">
        <v>23</v>
      </c>
      <c r="J41" s="8" t="s">
        <v>231</v>
      </c>
      <c r="K41" s="8" t="s">
        <v>286</v>
      </c>
      <c r="L41" s="8" t="s">
        <v>287</v>
      </c>
      <c r="M41" s="8" t="s">
        <v>27</v>
      </c>
      <c r="N41" s="8" t="s">
        <v>288</v>
      </c>
    </row>
    <row r="42" customFormat="false" ht="34.5" hidden="false" customHeight="true" outlineLevel="0" collapsed="false">
      <c r="A42" s="8" t="n">
        <v>38</v>
      </c>
      <c r="B42" s="8" t="s">
        <v>289</v>
      </c>
      <c r="C42" s="8" t="s">
        <v>290</v>
      </c>
      <c r="D42" s="8" t="s">
        <v>291</v>
      </c>
      <c r="E42" s="8" t="s">
        <v>50</v>
      </c>
      <c r="F42" s="8" t="s">
        <v>33</v>
      </c>
      <c r="G42" s="8" t="s">
        <v>292</v>
      </c>
      <c r="H42" s="8" t="s">
        <v>293</v>
      </c>
      <c r="I42" s="8" t="s">
        <v>54</v>
      </c>
      <c r="J42" s="8" t="s">
        <v>231</v>
      </c>
      <c r="K42" s="8" t="s">
        <v>294</v>
      </c>
      <c r="L42" s="8" t="s">
        <v>295</v>
      </c>
      <c r="M42" s="8" t="s">
        <v>27</v>
      </c>
      <c r="N42" s="8" t="s">
        <v>296</v>
      </c>
    </row>
    <row r="43" customFormat="false" ht="34.5" hidden="false" customHeight="true" outlineLevel="0" collapsed="false">
      <c r="A43" s="8" t="n">
        <v>39</v>
      </c>
      <c r="B43" s="8" t="s">
        <v>297</v>
      </c>
      <c r="C43" s="8" t="s">
        <v>298</v>
      </c>
      <c r="D43" s="8" t="s">
        <v>18</v>
      </c>
      <c r="E43" s="8" t="s">
        <v>50</v>
      </c>
      <c r="F43" s="8" t="s">
        <v>33</v>
      </c>
      <c r="G43" s="8" t="s">
        <v>299</v>
      </c>
      <c r="H43" s="8" t="s">
        <v>186</v>
      </c>
      <c r="I43" s="8" t="s">
        <v>23</v>
      </c>
      <c r="J43" s="8" t="s">
        <v>231</v>
      </c>
      <c r="K43" s="8" t="s">
        <v>300</v>
      </c>
      <c r="L43" s="8" t="s">
        <v>301</v>
      </c>
      <c r="M43" s="8" t="s">
        <v>27</v>
      </c>
      <c r="N43" s="8" t="s">
        <v>302</v>
      </c>
    </row>
    <row r="44" customFormat="false" ht="34.5" hidden="false" customHeight="true" outlineLevel="0" collapsed="false">
      <c r="A44" s="8" t="n">
        <v>40</v>
      </c>
      <c r="B44" s="8" t="s">
        <v>303</v>
      </c>
      <c r="C44" s="8" t="s">
        <v>304</v>
      </c>
      <c r="D44" s="8" t="s">
        <v>291</v>
      </c>
      <c r="E44" s="8" t="s">
        <v>305</v>
      </c>
      <c r="F44" s="8" t="s">
        <v>33</v>
      </c>
      <c r="G44" s="8" t="s">
        <v>306</v>
      </c>
      <c r="H44" s="8" t="s">
        <v>186</v>
      </c>
      <c r="I44" s="8" t="s">
        <v>23</v>
      </c>
      <c r="J44" s="8" t="s">
        <v>231</v>
      </c>
      <c r="K44" s="8" t="s">
        <v>307</v>
      </c>
      <c r="L44" s="8" t="s">
        <v>308</v>
      </c>
      <c r="M44" s="8" t="s">
        <v>27</v>
      </c>
      <c r="N44" s="8" t="s">
        <v>309</v>
      </c>
    </row>
    <row r="45" customFormat="false" ht="45.75" hidden="false" customHeight="true" outlineLevel="0" collapsed="false">
      <c r="A45" s="8" t="n">
        <v>41</v>
      </c>
      <c r="B45" s="8" t="s">
        <v>310</v>
      </c>
      <c r="C45" s="8" t="s">
        <v>311</v>
      </c>
      <c r="D45" s="8" t="s">
        <v>60</v>
      </c>
      <c r="E45" s="8" t="s">
        <v>50</v>
      </c>
      <c r="F45" s="8" t="s">
        <v>33</v>
      </c>
      <c r="G45" s="8" t="s">
        <v>312</v>
      </c>
      <c r="H45" s="8" t="s">
        <v>313</v>
      </c>
      <c r="I45" s="8" t="s">
        <v>23</v>
      </c>
      <c r="J45" s="8" t="s">
        <v>231</v>
      </c>
      <c r="K45" s="8" t="s">
        <v>314</v>
      </c>
      <c r="L45" s="8" t="s">
        <v>315</v>
      </c>
      <c r="M45" s="8" t="s">
        <v>27</v>
      </c>
      <c r="N45" s="8" t="s">
        <v>316</v>
      </c>
    </row>
    <row r="46" customFormat="false" ht="34.5" hidden="false" customHeight="true" outlineLevel="0" collapsed="false">
      <c r="A46" s="8" t="n">
        <v>42</v>
      </c>
      <c r="B46" s="8" t="s">
        <v>317</v>
      </c>
      <c r="C46" s="8" t="s">
        <v>157</v>
      </c>
      <c r="D46" s="8" t="s">
        <v>49</v>
      </c>
      <c r="E46" s="8" t="s">
        <v>50</v>
      </c>
      <c r="F46" s="8" t="s">
        <v>33</v>
      </c>
      <c r="G46" s="8" t="s">
        <v>318</v>
      </c>
      <c r="H46" s="8" t="s">
        <v>319</v>
      </c>
      <c r="I46" s="8" t="s">
        <v>23</v>
      </c>
      <c r="J46" s="8" t="s">
        <v>231</v>
      </c>
      <c r="K46" s="8" t="s">
        <v>320</v>
      </c>
      <c r="L46" s="8" t="s">
        <v>321</v>
      </c>
      <c r="M46" s="8" t="s">
        <v>27</v>
      </c>
      <c r="N46" s="8" t="s">
        <v>322</v>
      </c>
    </row>
    <row r="47" customFormat="false" ht="15" hidden="false" customHeight="true" outlineLevel="0" collapsed="false">
      <c r="A47" s="9" t="n">
        <v>43</v>
      </c>
      <c r="B47" s="9" t="s">
        <v>323</v>
      </c>
      <c r="C47" s="9" t="s">
        <v>324</v>
      </c>
      <c r="D47" s="9" t="s">
        <v>291</v>
      </c>
      <c r="E47" s="9" t="s">
        <v>87</v>
      </c>
      <c r="F47" s="9" t="s">
        <v>33</v>
      </c>
      <c r="G47" s="9" t="s">
        <v>325</v>
      </c>
      <c r="H47" s="9" t="s">
        <v>326</v>
      </c>
      <c r="I47" s="9" t="s">
        <v>23</v>
      </c>
      <c r="J47" s="9" t="s">
        <v>231</v>
      </c>
      <c r="K47" s="9" t="s">
        <v>327</v>
      </c>
      <c r="L47" s="9" t="s">
        <v>328</v>
      </c>
      <c r="M47" s="9" t="s">
        <v>27</v>
      </c>
      <c r="N47" s="9" t="s">
        <v>329</v>
      </c>
    </row>
    <row r="48" customFormat="false" ht="15" hidden="false" customHeight="true" outlineLevel="0" collapsed="false">
      <c r="A48" s="9" t="n">
        <v>44</v>
      </c>
      <c r="B48" s="9" t="s">
        <v>330</v>
      </c>
      <c r="C48" s="9" t="s">
        <v>331</v>
      </c>
      <c r="D48" s="9" t="s">
        <v>291</v>
      </c>
      <c r="E48" s="9" t="s">
        <v>332</v>
      </c>
      <c r="F48" s="9" t="s">
        <v>33</v>
      </c>
      <c r="G48" s="9" t="s">
        <v>333</v>
      </c>
      <c r="H48" s="9" t="s">
        <v>334</v>
      </c>
      <c r="I48" s="9" t="s">
        <v>23</v>
      </c>
      <c r="J48" s="9" t="s">
        <v>231</v>
      </c>
      <c r="K48" s="9" t="s">
        <v>335</v>
      </c>
      <c r="L48" s="9" t="s">
        <v>336</v>
      </c>
      <c r="M48" s="9" t="s">
        <v>27</v>
      </c>
      <c r="N48" s="9" t="s">
        <v>337</v>
      </c>
    </row>
    <row r="49" customFormat="false" ht="15" hidden="false" customHeight="true" outlineLevel="0" collapsed="false">
      <c r="A49" s="9" t="n">
        <v>45</v>
      </c>
      <c r="B49" s="9" t="s">
        <v>338</v>
      </c>
      <c r="C49" s="9" t="s">
        <v>339</v>
      </c>
      <c r="D49" s="9" t="s">
        <v>68</v>
      </c>
      <c r="E49" s="9" t="s">
        <v>340</v>
      </c>
      <c r="F49" s="9" t="s">
        <v>33</v>
      </c>
      <c r="G49" s="9" t="s">
        <v>341</v>
      </c>
      <c r="H49" s="9" t="s">
        <v>342</v>
      </c>
      <c r="I49" s="9" t="s">
        <v>23</v>
      </c>
      <c r="J49" s="9" t="s">
        <v>231</v>
      </c>
      <c r="K49" s="9" t="s">
        <v>343</v>
      </c>
      <c r="L49" s="9" t="s">
        <v>344</v>
      </c>
      <c r="M49" s="9" t="s">
        <v>27</v>
      </c>
      <c r="N49" s="9" t="s">
        <v>345</v>
      </c>
    </row>
    <row r="50" customFormat="false" ht="15" hidden="false" customHeight="true" outlineLevel="0" collapsed="false">
      <c r="A50" s="9" t="n">
        <v>46</v>
      </c>
      <c r="B50" s="9" t="s">
        <v>346</v>
      </c>
      <c r="C50" s="9" t="s">
        <v>347</v>
      </c>
      <c r="D50" s="9" t="s">
        <v>41</v>
      </c>
      <c r="E50" s="9" t="s">
        <v>348</v>
      </c>
      <c r="F50" s="9" t="s">
        <v>33</v>
      </c>
      <c r="G50" s="9" t="s">
        <v>349</v>
      </c>
      <c r="H50" s="9" t="s">
        <v>350</v>
      </c>
      <c r="I50" s="9" t="s">
        <v>23</v>
      </c>
      <c r="J50" s="9" t="s">
        <v>231</v>
      </c>
      <c r="K50" s="9" t="s">
        <v>351</v>
      </c>
      <c r="L50" s="9" t="s">
        <v>352</v>
      </c>
      <c r="M50" s="9" t="s">
        <v>27</v>
      </c>
      <c r="N50" s="9" t="s">
        <v>353</v>
      </c>
    </row>
    <row r="51" customFormat="false" ht="15" hidden="false" customHeight="true" outlineLevel="0" collapsed="false">
      <c r="A51" s="9" t="n">
        <v>47</v>
      </c>
      <c r="B51" s="9" t="s">
        <v>354</v>
      </c>
      <c r="C51" s="9" t="s">
        <v>355</v>
      </c>
      <c r="D51" s="9" t="s">
        <v>356</v>
      </c>
      <c r="E51" s="9" t="s">
        <v>258</v>
      </c>
      <c r="F51" s="9" t="s">
        <v>33</v>
      </c>
      <c r="G51" s="9" t="s">
        <v>357</v>
      </c>
      <c r="H51" s="9" t="s">
        <v>358</v>
      </c>
      <c r="I51" s="9" t="s">
        <v>23</v>
      </c>
      <c r="J51" s="9" t="s">
        <v>231</v>
      </c>
      <c r="K51" s="9" t="s">
        <v>359</v>
      </c>
      <c r="L51" s="9" t="s">
        <v>360</v>
      </c>
      <c r="M51" s="9" t="s">
        <v>27</v>
      </c>
      <c r="N51" s="9" t="s">
        <v>361</v>
      </c>
    </row>
    <row r="52" customFormat="false" ht="15" hidden="false" customHeight="true" outlineLevel="0" collapsed="false">
      <c r="A52" s="9" t="n">
        <v>48</v>
      </c>
      <c r="B52" s="9" t="s">
        <v>362</v>
      </c>
      <c r="C52" s="9" t="s">
        <v>363</v>
      </c>
      <c r="D52" s="9" t="s">
        <v>49</v>
      </c>
      <c r="E52" s="9" t="s">
        <v>364</v>
      </c>
      <c r="F52" s="9" t="s">
        <v>33</v>
      </c>
      <c r="G52" s="9" t="s">
        <v>365</v>
      </c>
      <c r="H52" s="9" t="s">
        <v>115</v>
      </c>
      <c r="I52" s="9" t="s">
        <v>23</v>
      </c>
      <c r="J52" s="9" t="s">
        <v>231</v>
      </c>
      <c r="K52" s="9" t="s">
        <v>366</v>
      </c>
      <c r="L52" s="9" t="s">
        <v>367</v>
      </c>
      <c r="M52" s="9" t="s">
        <v>368</v>
      </c>
      <c r="N52" s="9" t="s">
        <v>369</v>
      </c>
    </row>
    <row r="53" customFormat="false" ht="15" hidden="false" customHeight="true" outlineLevel="0" collapsed="false">
      <c r="A53" s="9" t="n">
        <v>49</v>
      </c>
      <c r="B53" s="9" t="s">
        <v>370</v>
      </c>
      <c r="C53" s="9" t="s">
        <v>371</v>
      </c>
      <c r="D53" s="9" t="s">
        <v>60</v>
      </c>
      <c r="E53" s="9" t="s">
        <v>50</v>
      </c>
      <c r="F53" s="9" t="s">
        <v>33</v>
      </c>
      <c r="G53" s="9" t="s">
        <v>372</v>
      </c>
      <c r="H53" s="9" t="s">
        <v>373</v>
      </c>
      <c r="I53" s="9" t="s">
        <v>23</v>
      </c>
      <c r="J53" s="9" t="s">
        <v>231</v>
      </c>
      <c r="K53" s="9" t="s">
        <v>374</v>
      </c>
      <c r="L53" s="9" t="s">
        <v>375</v>
      </c>
      <c r="M53" s="9" t="s">
        <v>27</v>
      </c>
      <c r="N53" s="9" t="s">
        <v>376</v>
      </c>
    </row>
    <row r="54" customFormat="false" ht="15" hidden="false" customHeight="true" outlineLevel="0" collapsed="false">
      <c r="A54" s="9" t="n">
        <v>50</v>
      </c>
      <c r="B54" s="9" t="s">
        <v>377</v>
      </c>
      <c r="C54" s="9" t="s">
        <v>378</v>
      </c>
      <c r="D54" s="9" t="s">
        <v>49</v>
      </c>
      <c r="E54" s="9" t="s">
        <v>379</v>
      </c>
      <c r="F54" s="9" t="s">
        <v>33</v>
      </c>
      <c r="G54" s="9" t="s">
        <v>380</v>
      </c>
      <c r="H54" s="9" t="s">
        <v>381</v>
      </c>
      <c r="I54" s="9" t="s">
        <v>23</v>
      </c>
      <c r="J54" s="9" t="s">
        <v>231</v>
      </c>
      <c r="K54" s="9" t="s">
        <v>382</v>
      </c>
      <c r="L54" s="9" t="s">
        <v>383</v>
      </c>
      <c r="M54" s="9" t="s">
        <v>27</v>
      </c>
      <c r="N54" s="9" t="s">
        <v>384</v>
      </c>
    </row>
    <row r="55" customFormat="false" ht="15" hidden="false" customHeight="true" outlineLevel="0" collapsed="false">
      <c r="A55" s="9" t="n">
        <v>51</v>
      </c>
      <c r="B55" s="9" t="s">
        <v>385</v>
      </c>
      <c r="C55" s="9" t="s">
        <v>386</v>
      </c>
      <c r="D55" s="9" t="s">
        <v>41</v>
      </c>
      <c r="E55" s="9" t="s">
        <v>387</v>
      </c>
      <c r="F55" s="9" t="s">
        <v>33</v>
      </c>
      <c r="G55" s="9" t="s">
        <v>388</v>
      </c>
      <c r="H55" s="9" t="s">
        <v>389</v>
      </c>
      <c r="I55" s="9" t="s">
        <v>23</v>
      </c>
      <c r="J55" s="9" t="s">
        <v>231</v>
      </c>
      <c r="K55" s="9" t="s">
        <v>390</v>
      </c>
      <c r="L55" s="9" t="s">
        <v>391</v>
      </c>
      <c r="M55" s="9" t="s">
        <v>27</v>
      </c>
      <c r="N55" s="9" t="s">
        <v>392</v>
      </c>
    </row>
    <row r="56" customFormat="false" ht="15" hidden="false" customHeight="true" outlineLevel="0" collapsed="false">
      <c r="A56" s="9" t="n">
        <v>52</v>
      </c>
      <c r="B56" s="9" t="s">
        <v>393</v>
      </c>
      <c r="C56" s="9" t="s">
        <v>48</v>
      </c>
      <c r="D56" s="9" t="s">
        <v>41</v>
      </c>
      <c r="E56" s="9" t="s">
        <v>252</v>
      </c>
      <c r="F56" s="9" t="s">
        <v>33</v>
      </c>
      <c r="G56" s="9" t="s">
        <v>394</v>
      </c>
      <c r="H56" s="9" t="s">
        <v>395</v>
      </c>
      <c r="I56" s="9" t="s">
        <v>23</v>
      </c>
      <c r="J56" s="9" t="s">
        <v>231</v>
      </c>
      <c r="K56" s="9" t="s">
        <v>396</v>
      </c>
      <c r="L56" s="9" t="s">
        <v>397</v>
      </c>
      <c r="M56" s="9" t="s">
        <v>27</v>
      </c>
      <c r="N56" s="9" t="s">
        <v>398</v>
      </c>
    </row>
    <row r="57" customFormat="false" ht="15" hidden="false" customHeight="true" outlineLevel="0" collapsed="false">
      <c r="A57" s="9" t="n">
        <v>53</v>
      </c>
      <c r="B57" s="9" t="s">
        <v>399</v>
      </c>
      <c r="C57" s="9" t="s">
        <v>400</v>
      </c>
      <c r="D57" s="9" t="s">
        <v>41</v>
      </c>
      <c r="E57" s="9" t="s">
        <v>283</v>
      </c>
      <c r="F57" s="9" t="s">
        <v>33</v>
      </c>
      <c r="G57" s="9" t="s">
        <v>401</v>
      </c>
      <c r="H57" s="9" t="s">
        <v>402</v>
      </c>
      <c r="I57" s="9" t="s">
        <v>23</v>
      </c>
      <c r="J57" s="9" t="s">
        <v>231</v>
      </c>
      <c r="K57" s="9" t="s">
        <v>403</v>
      </c>
      <c r="L57" s="9" t="s">
        <v>404</v>
      </c>
      <c r="M57" s="9" t="s">
        <v>27</v>
      </c>
      <c r="N57" s="9" t="s">
        <v>405</v>
      </c>
    </row>
    <row r="58" customFormat="false" ht="15" hidden="false" customHeight="true" outlineLevel="0" collapsed="false">
      <c r="A58" s="9" t="n">
        <v>54</v>
      </c>
      <c r="B58" s="9" t="s">
        <v>406</v>
      </c>
      <c r="C58" s="9" t="s">
        <v>407</v>
      </c>
      <c r="D58" s="9" t="s">
        <v>60</v>
      </c>
      <c r="E58" s="9" t="s">
        <v>408</v>
      </c>
      <c r="F58" s="9" t="s">
        <v>33</v>
      </c>
      <c r="G58" s="9" t="s">
        <v>409</v>
      </c>
      <c r="H58" s="9" t="s">
        <v>410</v>
      </c>
      <c r="I58" s="9" t="s">
        <v>23</v>
      </c>
      <c r="J58" s="9" t="s">
        <v>231</v>
      </c>
      <c r="K58" s="9" t="s">
        <v>411</v>
      </c>
      <c r="L58" s="9" t="s">
        <v>412</v>
      </c>
      <c r="M58" s="9" t="s">
        <v>27</v>
      </c>
      <c r="N58" s="9" t="s">
        <v>413</v>
      </c>
    </row>
    <row r="59" customFormat="false" ht="15" hidden="false" customHeight="true" outlineLevel="0" collapsed="false">
      <c r="A59" s="9" t="n">
        <v>55</v>
      </c>
      <c r="B59" s="9" t="s">
        <v>414</v>
      </c>
      <c r="C59" s="9" t="s">
        <v>415</v>
      </c>
      <c r="D59" s="9" t="s">
        <v>416</v>
      </c>
      <c r="E59" s="9" t="s">
        <v>417</v>
      </c>
      <c r="F59" s="9" t="s">
        <v>418</v>
      </c>
      <c r="G59" s="9" t="s">
        <v>419</v>
      </c>
      <c r="H59" s="9" t="s">
        <v>420</v>
      </c>
      <c r="I59" s="9" t="s">
        <v>421</v>
      </c>
      <c r="J59" s="9" t="s">
        <v>231</v>
      </c>
      <c r="K59" s="9" t="s">
        <v>422</v>
      </c>
      <c r="L59" s="9" t="s">
        <v>423</v>
      </c>
      <c r="M59" s="9" t="s">
        <v>424</v>
      </c>
      <c r="N59" s="9"/>
    </row>
    <row r="60" customFormat="false" ht="15" hidden="false" customHeight="true" outlineLevel="0" collapsed="false">
      <c r="A60" s="9" t="n">
        <v>56</v>
      </c>
      <c r="B60" s="9" t="s">
        <v>425</v>
      </c>
      <c r="C60" s="9" t="s">
        <v>426</v>
      </c>
      <c r="D60" s="9" t="s">
        <v>427</v>
      </c>
      <c r="E60" s="9" t="s">
        <v>428</v>
      </c>
      <c r="F60" s="9" t="s">
        <v>418</v>
      </c>
      <c r="G60" s="9" t="s">
        <v>429</v>
      </c>
      <c r="H60" s="9" t="s">
        <v>430</v>
      </c>
      <c r="I60" s="9" t="s">
        <v>421</v>
      </c>
      <c r="J60" s="9" t="s">
        <v>231</v>
      </c>
      <c r="K60" s="9" t="s">
        <v>431</v>
      </c>
      <c r="L60" s="9" t="s">
        <v>432</v>
      </c>
      <c r="M60" s="9" t="s">
        <v>424</v>
      </c>
      <c r="N60" s="9"/>
    </row>
    <row r="61" customFormat="false" ht="15" hidden="false" customHeight="true" outlineLevel="0" collapsed="false">
      <c r="A61" s="9" t="n">
        <v>57</v>
      </c>
      <c r="B61" s="9" t="s">
        <v>246</v>
      </c>
      <c r="C61" s="9" t="s">
        <v>433</v>
      </c>
      <c r="D61" s="9" t="s">
        <v>434</v>
      </c>
      <c r="E61" s="9" t="s">
        <v>435</v>
      </c>
      <c r="F61" s="9" t="s">
        <v>418</v>
      </c>
      <c r="G61" s="9" t="s">
        <v>247</v>
      </c>
      <c r="H61" s="9" t="s">
        <v>420</v>
      </c>
      <c r="I61" s="9" t="s">
        <v>421</v>
      </c>
      <c r="J61" s="9" t="s">
        <v>231</v>
      </c>
      <c r="K61" s="9" t="s">
        <v>436</v>
      </c>
      <c r="L61" s="9" t="s">
        <v>437</v>
      </c>
      <c r="M61" s="9" t="s">
        <v>424</v>
      </c>
      <c r="N61" s="9"/>
    </row>
    <row r="62" customFormat="false" ht="15" hidden="false" customHeight="true" outlineLevel="0" collapsed="false">
      <c r="A62" s="9" t="n">
        <v>58</v>
      </c>
      <c r="B62" s="9" t="s">
        <v>438</v>
      </c>
      <c r="C62" s="9" t="s">
        <v>439</v>
      </c>
      <c r="D62" s="9" t="s">
        <v>440</v>
      </c>
      <c r="E62" s="9" t="s">
        <v>435</v>
      </c>
      <c r="F62" s="9" t="s">
        <v>418</v>
      </c>
      <c r="G62" s="9" t="s">
        <v>441</v>
      </c>
      <c r="H62" s="9" t="s">
        <v>442</v>
      </c>
      <c r="I62" s="9" t="s">
        <v>421</v>
      </c>
      <c r="J62" s="9" t="s">
        <v>231</v>
      </c>
      <c r="K62" s="9" t="s">
        <v>443</v>
      </c>
      <c r="L62" s="9" t="s">
        <v>444</v>
      </c>
      <c r="M62" s="9" t="s">
        <v>424</v>
      </c>
      <c r="N62" s="9"/>
    </row>
    <row r="63" customFormat="false" ht="15" hidden="false" customHeight="true" outlineLevel="0" collapsed="false">
      <c r="A63" s="9" t="n">
        <v>59</v>
      </c>
      <c r="B63" s="9" t="s">
        <v>39</v>
      </c>
      <c r="C63" s="9" t="s">
        <v>40</v>
      </c>
      <c r="D63" s="9" t="s">
        <v>445</v>
      </c>
      <c r="E63" s="9" t="s">
        <v>446</v>
      </c>
      <c r="F63" s="9" t="s">
        <v>418</v>
      </c>
      <c r="G63" s="9" t="s">
        <v>43</v>
      </c>
      <c r="H63" s="9" t="s">
        <v>447</v>
      </c>
      <c r="I63" s="9" t="s">
        <v>421</v>
      </c>
      <c r="J63" s="9" t="s">
        <v>231</v>
      </c>
      <c r="K63" s="9" t="s">
        <v>448</v>
      </c>
      <c r="L63" s="9" t="s">
        <v>449</v>
      </c>
      <c r="M63" s="9" t="s">
        <v>424</v>
      </c>
      <c r="N63" s="9" t="s">
        <v>450</v>
      </c>
    </row>
    <row r="64" customFormat="false" ht="15" hidden="false" customHeight="true" outlineLevel="0" collapsed="false">
      <c r="A64" s="9" t="n">
        <v>60</v>
      </c>
      <c r="B64" s="9" t="s">
        <v>240</v>
      </c>
      <c r="C64" s="9" t="s">
        <v>451</v>
      </c>
      <c r="D64" s="9" t="s">
        <v>452</v>
      </c>
      <c r="E64" s="9" t="s">
        <v>446</v>
      </c>
      <c r="F64" s="9" t="s">
        <v>418</v>
      </c>
      <c r="G64" s="9" t="s">
        <v>242</v>
      </c>
      <c r="H64" s="9" t="s">
        <v>453</v>
      </c>
      <c r="I64" s="9" t="s">
        <v>421</v>
      </c>
      <c r="J64" s="9" t="s">
        <v>231</v>
      </c>
      <c r="K64" s="9" t="s">
        <v>454</v>
      </c>
      <c r="L64" s="9" t="s">
        <v>455</v>
      </c>
      <c r="M64" s="9" t="s">
        <v>424</v>
      </c>
      <c r="N64" s="9"/>
    </row>
    <row r="65" customFormat="false" ht="15" hidden="false" customHeight="true" outlineLevel="0" collapsed="false">
      <c r="A65" s="9" t="n">
        <v>61</v>
      </c>
      <c r="B65" s="9" t="s">
        <v>118</v>
      </c>
      <c r="C65" s="9" t="s">
        <v>119</v>
      </c>
      <c r="D65" s="9" t="s">
        <v>427</v>
      </c>
      <c r="E65" s="9" t="s">
        <v>456</v>
      </c>
      <c r="F65" s="9" t="s">
        <v>418</v>
      </c>
      <c r="G65" s="9" t="s">
        <v>165</v>
      </c>
      <c r="H65" s="9" t="s">
        <v>447</v>
      </c>
      <c r="I65" s="9" t="s">
        <v>421</v>
      </c>
      <c r="J65" s="9" t="s">
        <v>231</v>
      </c>
      <c r="K65" s="9" t="s">
        <v>457</v>
      </c>
      <c r="L65" s="9" t="s">
        <v>458</v>
      </c>
      <c r="M65" s="9" t="s">
        <v>424</v>
      </c>
      <c r="N65" s="9"/>
    </row>
    <row r="66" customFormat="false" ht="15" hidden="false" customHeight="true" outlineLevel="0" collapsed="false">
      <c r="A66" s="9" t="n">
        <v>62</v>
      </c>
      <c r="B66" s="9" t="s">
        <v>459</v>
      </c>
      <c r="C66" s="9" t="s">
        <v>460</v>
      </c>
      <c r="D66" s="9" t="s">
        <v>440</v>
      </c>
      <c r="E66" s="9" t="s">
        <v>461</v>
      </c>
      <c r="F66" s="9" t="s">
        <v>418</v>
      </c>
      <c r="G66" s="9" t="s">
        <v>462</v>
      </c>
      <c r="H66" s="9" t="s">
        <v>447</v>
      </c>
      <c r="I66" s="9" t="s">
        <v>421</v>
      </c>
      <c r="J66" s="9" t="s">
        <v>231</v>
      </c>
      <c r="K66" s="9" t="s">
        <v>463</v>
      </c>
      <c r="L66" s="9" t="s">
        <v>464</v>
      </c>
      <c r="M66" s="9" t="s">
        <v>424</v>
      </c>
      <c r="N66" s="9"/>
    </row>
    <row r="67" customFormat="false" ht="15" hidden="false" customHeight="true" outlineLevel="0" collapsed="false">
      <c r="A67" s="9" t="n">
        <v>63</v>
      </c>
      <c r="B67" s="9" t="s">
        <v>465</v>
      </c>
      <c r="C67" s="9" t="s">
        <v>466</v>
      </c>
      <c r="D67" s="9" t="s">
        <v>440</v>
      </c>
      <c r="E67" s="9" t="s">
        <v>456</v>
      </c>
      <c r="F67" s="9" t="s">
        <v>418</v>
      </c>
      <c r="G67" s="9" t="s">
        <v>467</v>
      </c>
      <c r="H67" s="9" t="s">
        <v>468</v>
      </c>
      <c r="I67" s="9" t="s">
        <v>421</v>
      </c>
      <c r="J67" s="9" t="s">
        <v>231</v>
      </c>
      <c r="K67" s="9" t="s">
        <v>469</v>
      </c>
      <c r="L67" s="9" t="s">
        <v>470</v>
      </c>
      <c r="M67" s="9" t="s">
        <v>368</v>
      </c>
      <c r="N67" s="9" t="s">
        <v>471</v>
      </c>
    </row>
    <row r="68" customFormat="false" ht="15" hidden="false" customHeight="true" outlineLevel="0" collapsed="false">
      <c r="A68" s="9" t="n">
        <v>64</v>
      </c>
      <c r="B68" s="9" t="s">
        <v>251</v>
      </c>
      <c r="C68" s="9" t="s">
        <v>472</v>
      </c>
      <c r="D68" s="9" t="s">
        <v>445</v>
      </c>
      <c r="E68" s="9" t="s">
        <v>435</v>
      </c>
      <c r="F68" s="9" t="s">
        <v>418</v>
      </c>
      <c r="G68" s="9" t="s">
        <v>253</v>
      </c>
      <c r="H68" s="9" t="s">
        <v>473</v>
      </c>
      <c r="I68" s="9" t="s">
        <v>421</v>
      </c>
      <c r="J68" s="9" t="s">
        <v>231</v>
      </c>
      <c r="K68" s="9" t="s">
        <v>474</v>
      </c>
      <c r="L68" s="9" t="s">
        <v>475</v>
      </c>
      <c r="M68" s="9" t="s">
        <v>424</v>
      </c>
      <c r="N68" s="9" t="s">
        <v>450</v>
      </c>
    </row>
    <row r="69" customFormat="false" ht="15" hidden="false" customHeight="true" outlineLevel="0" collapsed="false">
      <c r="A69" s="9" t="n">
        <v>65</v>
      </c>
      <c r="B69" s="9" t="s">
        <v>476</v>
      </c>
      <c r="C69" s="9" t="s">
        <v>477</v>
      </c>
      <c r="D69" s="9" t="s">
        <v>478</v>
      </c>
      <c r="E69" s="9" t="s">
        <v>479</v>
      </c>
      <c r="F69" s="9" t="s">
        <v>418</v>
      </c>
      <c r="G69" s="9" t="s">
        <v>480</v>
      </c>
      <c r="H69" s="9" t="s">
        <v>447</v>
      </c>
      <c r="I69" s="9" t="s">
        <v>421</v>
      </c>
      <c r="J69" s="9" t="s">
        <v>231</v>
      </c>
      <c r="K69" s="9" t="s">
        <v>481</v>
      </c>
      <c r="L69" s="9" t="s">
        <v>482</v>
      </c>
      <c r="M69" s="9" t="s">
        <v>424</v>
      </c>
      <c r="N69" s="9"/>
    </row>
    <row r="70" customFormat="false" ht="15" hidden="false" customHeight="true" outlineLevel="0" collapsed="false">
      <c r="A70" s="9" t="n">
        <v>66</v>
      </c>
      <c r="B70" s="9" t="s">
        <v>483</v>
      </c>
      <c r="C70" s="9" t="s">
        <v>484</v>
      </c>
      <c r="D70" s="9" t="s">
        <v>445</v>
      </c>
      <c r="E70" s="9" t="s">
        <v>485</v>
      </c>
      <c r="F70" s="9" t="s">
        <v>418</v>
      </c>
      <c r="G70" s="9" t="s">
        <v>486</v>
      </c>
      <c r="H70" s="9" t="s">
        <v>447</v>
      </c>
      <c r="I70" s="9" t="s">
        <v>421</v>
      </c>
      <c r="J70" s="9" t="s">
        <v>231</v>
      </c>
      <c r="K70" s="9" t="s">
        <v>487</v>
      </c>
      <c r="L70" s="9" t="s">
        <v>488</v>
      </c>
      <c r="M70" s="9" t="s">
        <v>424</v>
      </c>
      <c r="N70" s="9" t="s">
        <v>450</v>
      </c>
    </row>
    <row r="71" customFormat="false" ht="15" hidden="false" customHeight="true" outlineLevel="0" collapsed="false">
      <c r="A71" s="9" t="n">
        <v>67</v>
      </c>
      <c r="B71" s="9" t="s">
        <v>489</v>
      </c>
      <c r="C71" s="9" t="s">
        <v>490</v>
      </c>
      <c r="D71" s="9" t="s">
        <v>434</v>
      </c>
      <c r="E71" s="9" t="s">
        <v>485</v>
      </c>
      <c r="F71" s="9" t="s">
        <v>418</v>
      </c>
      <c r="G71" s="9" t="s">
        <v>491</v>
      </c>
      <c r="H71" s="9" t="s">
        <v>492</v>
      </c>
      <c r="I71" s="9" t="s">
        <v>421</v>
      </c>
      <c r="J71" s="9" t="s">
        <v>231</v>
      </c>
      <c r="K71" s="9" t="s">
        <v>493</v>
      </c>
      <c r="L71" s="9" t="s">
        <v>494</v>
      </c>
      <c r="M71" s="9" t="s">
        <v>424</v>
      </c>
      <c r="N71" s="9"/>
    </row>
    <row r="72" customFormat="false" ht="15" hidden="false" customHeight="true" outlineLevel="0" collapsed="false">
      <c r="A72" s="9" t="n">
        <v>68</v>
      </c>
      <c r="B72" s="9" t="s">
        <v>495</v>
      </c>
      <c r="C72" s="9" t="s">
        <v>496</v>
      </c>
      <c r="D72" s="9" t="s">
        <v>427</v>
      </c>
      <c r="E72" s="9" t="s">
        <v>446</v>
      </c>
      <c r="F72" s="9" t="s">
        <v>418</v>
      </c>
      <c r="G72" s="9" t="s">
        <v>185</v>
      </c>
      <c r="H72" s="9" t="s">
        <v>497</v>
      </c>
      <c r="I72" s="9" t="s">
        <v>421</v>
      </c>
      <c r="J72" s="9" t="s">
        <v>231</v>
      </c>
      <c r="K72" s="9" t="s">
        <v>498</v>
      </c>
      <c r="L72" s="9" t="s">
        <v>499</v>
      </c>
      <c r="M72" s="9" t="s">
        <v>424</v>
      </c>
      <c r="N72" s="9"/>
    </row>
    <row r="73" customFormat="false" ht="15" hidden="false" customHeight="true" outlineLevel="0" collapsed="false">
      <c r="A73" s="9" t="n">
        <v>69</v>
      </c>
      <c r="B73" s="9" t="s">
        <v>289</v>
      </c>
      <c r="C73" s="9" t="s">
        <v>290</v>
      </c>
      <c r="D73" s="9" t="s">
        <v>452</v>
      </c>
      <c r="E73" s="9" t="s">
        <v>500</v>
      </c>
      <c r="F73" s="9" t="s">
        <v>418</v>
      </c>
      <c r="G73" s="9" t="s">
        <v>501</v>
      </c>
      <c r="H73" s="9" t="s">
        <v>447</v>
      </c>
      <c r="I73" s="9" t="s">
        <v>421</v>
      </c>
      <c r="J73" s="9" t="s">
        <v>231</v>
      </c>
      <c r="K73" s="9" t="s">
        <v>502</v>
      </c>
      <c r="L73" s="9" t="s">
        <v>503</v>
      </c>
      <c r="M73" s="9" t="s">
        <v>424</v>
      </c>
      <c r="N73" s="9"/>
    </row>
    <row r="74" customFormat="false" ht="15" hidden="false" customHeight="true" outlineLevel="0" collapsed="false">
      <c r="A74" s="9" t="n">
        <v>70</v>
      </c>
      <c r="B74" s="9" t="s">
        <v>58</v>
      </c>
      <c r="C74" s="9" t="s">
        <v>157</v>
      </c>
      <c r="D74" s="9" t="s">
        <v>452</v>
      </c>
      <c r="E74" s="9" t="s">
        <v>435</v>
      </c>
      <c r="F74" s="9" t="s">
        <v>418</v>
      </c>
      <c r="G74" s="9" t="s">
        <v>61</v>
      </c>
      <c r="H74" s="9" t="s">
        <v>447</v>
      </c>
      <c r="I74" s="9" t="s">
        <v>421</v>
      </c>
      <c r="J74" s="9" t="s">
        <v>231</v>
      </c>
      <c r="K74" s="9" t="s">
        <v>504</v>
      </c>
      <c r="L74" s="9" t="s">
        <v>505</v>
      </c>
      <c r="M74" s="9" t="s">
        <v>424</v>
      </c>
      <c r="N74" s="9"/>
    </row>
    <row r="75" customFormat="false" ht="15" hidden="false" customHeight="true" outlineLevel="0" collapsed="false">
      <c r="A75" s="9" t="n">
        <v>71</v>
      </c>
      <c r="B75" s="9" t="s">
        <v>506</v>
      </c>
      <c r="C75" s="9" t="s">
        <v>507</v>
      </c>
      <c r="D75" s="9" t="s">
        <v>427</v>
      </c>
      <c r="E75" s="9" t="s">
        <v>435</v>
      </c>
      <c r="F75" s="9" t="s">
        <v>418</v>
      </c>
      <c r="G75" s="9" t="s">
        <v>508</v>
      </c>
      <c r="H75" s="9" t="s">
        <v>447</v>
      </c>
      <c r="I75" s="9" t="s">
        <v>421</v>
      </c>
      <c r="J75" s="9" t="s">
        <v>231</v>
      </c>
      <c r="K75" s="9" t="s">
        <v>509</v>
      </c>
      <c r="L75" s="9" t="s">
        <v>510</v>
      </c>
      <c r="M75" s="9" t="s">
        <v>424</v>
      </c>
      <c r="N75" s="9"/>
    </row>
    <row r="76" customFormat="false" ht="15" hidden="false" customHeight="true" outlineLevel="0" collapsed="false">
      <c r="A76" s="9" t="n">
        <v>72</v>
      </c>
      <c r="B76" s="9" t="s">
        <v>16</v>
      </c>
      <c r="C76" s="9" t="s">
        <v>511</v>
      </c>
      <c r="D76" s="9" t="s">
        <v>434</v>
      </c>
      <c r="E76" s="9" t="s">
        <v>456</v>
      </c>
      <c r="F76" s="9" t="s">
        <v>418</v>
      </c>
      <c r="G76" s="9" t="s">
        <v>512</v>
      </c>
      <c r="H76" s="9" t="s">
        <v>513</v>
      </c>
      <c r="I76" s="9" t="s">
        <v>421</v>
      </c>
      <c r="J76" s="9" t="s">
        <v>231</v>
      </c>
      <c r="K76" s="9" t="s">
        <v>514</v>
      </c>
      <c r="L76" s="9" t="s">
        <v>515</v>
      </c>
      <c r="M76" s="9" t="s">
        <v>424</v>
      </c>
      <c r="N76" s="9"/>
    </row>
    <row r="77" customFormat="false" ht="15" hidden="false" customHeight="true" outlineLevel="0" collapsed="false">
      <c r="A77" s="9" t="n">
        <v>73</v>
      </c>
      <c r="B77" s="9" t="s">
        <v>516</v>
      </c>
      <c r="C77" s="9" t="s">
        <v>517</v>
      </c>
      <c r="D77" s="9" t="s">
        <v>416</v>
      </c>
      <c r="E77" s="9" t="s">
        <v>456</v>
      </c>
      <c r="F77" s="9" t="s">
        <v>418</v>
      </c>
      <c r="G77" s="9" t="s">
        <v>518</v>
      </c>
      <c r="H77" s="9" t="s">
        <v>519</v>
      </c>
      <c r="I77" s="9" t="s">
        <v>421</v>
      </c>
      <c r="J77" s="9" t="s">
        <v>231</v>
      </c>
      <c r="K77" s="9" t="s">
        <v>520</v>
      </c>
      <c r="L77" s="9" t="s">
        <v>521</v>
      </c>
      <c r="M77" s="9" t="s">
        <v>522</v>
      </c>
      <c r="N77" s="9" t="s">
        <v>523</v>
      </c>
    </row>
    <row r="78" customFormat="false" ht="15" hidden="false" customHeight="true" outlineLevel="0" collapsed="false">
      <c r="A78" s="9" t="n">
        <v>74</v>
      </c>
      <c r="B78" s="9" t="s">
        <v>264</v>
      </c>
      <c r="C78" s="9" t="s">
        <v>524</v>
      </c>
      <c r="D78" s="9" t="s">
        <v>416</v>
      </c>
      <c r="E78" s="9" t="s">
        <v>461</v>
      </c>
      <c r="F78" s="9" t="s">
        <v>418</v>
      </c>
      <c r="G78" s="9" t="s">
        <v>265</v>
      </c>
      <c r="H78" s="9" t="s">
        <v>525</v>
      </c>
      <c r="I78" s="9" t="s">
        <v>421</v>
      </c>
      <c r="J78" s="9" t="s">
        <v>231</v>
      </c>
      <c r="K78" s="9" t="s">
        <v>526</v>
      </c>
      <c r="L78" s="9" t="s">
        <v>527</v>
      </c>
      <c r="M78" s="9" t="s">
        <v>424</v>
      </c>
      <c r="N78" s="9"/>
    </row>
    <row r="79" customFormat="false" ht="15" hidden="false" customHeight="true" outlineLevel="0" collapsed="false">
      <c r="A79" s="9" t="n">
        <v>75</v>
      </c>
      <c r="B79" s="9" t="s">
        <v>528</v>
      </c>
      <c r="C79" s="9" t="s">
        <v>529</v>
      </c>
      <c r="D79" s="9" t="s">
        <v>452</v>
      </c>
      <c r="E79" s="9" t="s">
        <v>446</v>
      </c>
      <c r="F79" s="9" t="s">
        <v>418</v>
      </c>
      <c r="G79" s="9" t="s">
        <v>530</v>
      </c>
      <c r="H79" s="9" t="s">
        <v>531</v>
      </c>
      <c r="I79" s="9" t="s">
        <v>421</v>
      </c>
      <c r="J79" s="9" t="s">
        <v>231</v>
      </c>
      <c r="K79" s="9" t="s">
        <v>532</v>
      </c>
      <c r="L79" s="9" t="s">
        <v>533</v>
      </c>
      <c r="M79" s="9" t="s">
        <v>424</v>
      </c>
      <c r="N79" s="9"/>
    </row>
    <row r="80" customFormat="false" ht="15" hidden="false" customHeight="true" outlineLevel="0" collapsed="false">
      <c r="A80" s="9" t="n">
        <v>76</v>
      </c>
      <c r="B80" s="9" t="s">
        <v>275</v>
      </c>
      <c r="C80" s="9" t="s">
        <v>534</v>
      </c>
      <c r="D80" s="9" t="s">
        <v>445</v>
      </c>
      <c r="E80" s="9" t="s">
        <v>435</v>
      </c>
      <c r="F80" s="9" t="s">
        <v>418</v>
      </c>
      <c r="G80" s="9" t="s">
        <v>535</v>
      </c>
      <c r="H80" s="9" t="s">
        <v>536</v>
      </c>
      <c r="I80" s="9" t="s">
        <v>421</v>
      </c>
      <c r="J80" s="9" t="s">
        <v>231</v>
      </c>
      <c r="K80" s="9" t="s">
        <v>537</v>
      </c>
      <c r="L80" s="9" t="s">
        <v>538</v>
      </c>
      <c r="M80" s="9" t="s">
        <v>424</v>
      </c>
      <c r="N80" s="9" t="s">
        <v>539</v>
      </c>
    </row>
    <row r="81" customFormat="false" ht="15" hidden="false" customHeight="true" outlineLevel="0" collapsed="false">
      <c r="A81" s="9" t="n">
        <v>77</v>
      </c>
      <c r="B81" s="9" t="s">
        <v>540</v>
      </c>
      <c r="C81" s="9" t="s">
        <v>541</v>
      </c>
      <c r="D81" s="9" t="s">
        <v>434</v>
      </c>
      <c r="E81" s="9" t="s">
        <v>446</v>
      </c>
      <c r="F81" s="9" t="s">
        <v>418</v>
      </c>
      <c r="G81" s="9" t="s">
        <v>542</v>
      </c>
      <c r="H81" s="9" t="s">
        <v>543</v>
      </c>
      <c r="I81" s="9" t="s">
        <v>421</v>
      </c>
      <c r="J81" s="9" t="s">
        <v>231</v>
      </c>
      <c r="K81" s="9" t="s">
        <v>544</v>
      </c>
      <c r="L81" s="9" t="s">
        <v>545</v>
      </c>
      <c r="M81" s="9" t="s">
        <v>424</v>
      </c>
      <c r="N81" s="9"/>
    </row>
    <row r="82" customFormat="false" ht="15" hidden="false" customHeight="true" outlineLevel="0" collapsed="false">
      <c r="A82" s="9" t="n">
        <v>78</v>
      </c>
      <c r="B82" s="9" t="s">
        <v>546</v>
      </c>
      <c r="C82" s="9" t="s">
        <v>547</v>
      </c>
      <c r="D82" s="9" t="s">
        <v>434</v>
      </c>
      <c r="E82" s="9" t="s">
        <v>435</v>
      </c>
      <c r="F82" s="9" t="s">
        <v>418</v>
      </c>
      <c r="G82" s="9" t="s">
        <v>548</v>
      </c>
      <c r="H82" s="9" t="s">
        <v>549</v>
      </c>
      <c r="I82" s="9" t="s">
        <v>421</v>
      </c>
      <c r="J82" s="9" t="s">
        <v>231</v>
      </c>
      <c r="K82" s="9" t="s">
        <v>550</v>
      </c>
      <c r="L82" s="9" t="s">
        <v>551</v>
      </c>
      <c r="M82" s="9" t="s">
        <v>424</v>
      </c>
      <c r="N82" s="9"/>
    </row>
    <row r="83" customFormat="false" ht="15" hidden="false" customHeight="true" outlineLevel="0" collapsed="false">
      <c r="A83" s="9" t="n">
        <v>79</v>
      </c>
      <c r="B83" s="9" t="s">
        <v>552</v>
      </c>
      <c r="C83" s="9" t="s">
        <v>553</v>
      </c>
      <c r="D83" s="9" t="s">
        <v>427</v>
      </c>
      <c r="E83" s="9" t="s">
        <v>456</v>
      </c>
      <c r="F83" s="9" t="s">
        <v>418</v>
      </c>
      <c r="G83" s="9" t="s">
        <v>554</v>
      </c>
      <c r="H83" s="9" t="s">
        <v>555</v>
      </c>
      <c r="I83" s="9" t="s">
        <v>421</v>
      </c>
      <c r="J83" s="9" t="s">
        <v>231</v>
      </c>
      <c r="K83" s="9" t="s">
        <v>556</v>
      </c>
      <c r="L83" s="9" t="s">
        <v>557</v>
      </c>
      <c r="M83" s="9" t="s">
        <v>424</v>
      </c>
      <c r="N83" s="9" t="s">
        <v>558</v>
      </c>
    </row>
    <row r="84" customFormat="false" ht="15" hidden="false" customHeight="true" outlineLevel="0" collapsed="false">
      <c r="A84" s="9" t="n">
        <v>80</v>
      </c>
      <c r="B84" s="9" t="s">
        <v>559</v>
      </c>
      <c r="C84" s="9" t="s">
        <v>560</v>
      </c>
      <c r="D84" s="9" t="s">
        <v>445</v>
      </c>
      <c r="E84" s="9" t="s">
        <v>461</v>
      </c>
      <c r="F84" s="9" t="s">
        <v>418</v>
      </c>
      <c r="G84" s="9" t="s">
        <v>561</v>
      </c>
      <c r="H84" s="9" t="s">
        <v>562</v>
      </c>
      <c r="I84" s="9" t="s">
        <v>421</v>
      </c>
      <c r="J84" s="9" t="s">
        <v>231</v>
      </c>
      <c r="K84" s="9" t="s">
        <v>563</v>
      </c>
      <c r="L84" s="9" t="s">
        <v>564</v>
      </c>
      <c r="M84" s="9" t="s">
        <v>424</v>
      </c>
      <c r="N84" s="9" t="s">
        <v>565</v>
      </c>
    </row>
    <row r="85" customFormat="false" ht="15" hidden="false" customHeight="true" outlineLevel="0" collapsed="false">
      <c r="A85" s="9" t="n">
        <v>81</v>
      </c>
      <c r="B85" s="9" t="s">
        <v>566</v>
      </c>
      <c r="C85" s="9" t="s">
        <v>567</v>
      </c>
      <c r="D85" s="9" t="s">
        <v>440</v>
      </c>
      <c r="E85" s="9" t="s">
        <v>485</v>
      </c>
      <c r="F85" s="9" t="s">
        <v>418</v>
      </c>
      <c r="G85" s="9" t="s">
        <v>158</v>
      </c>
      <c r="H85" s="9" t="s">
        <v>568</v>
      </c>
      <c r="I85" s="9" t="s">
        <v>421</v>
      </c>
      <c r="J85" s="9" t="s">
        <v>231</v>
      </c>
      <c r="K85" s="9" t="s">
        <v>569</v>
      </c>
      <c r="L85" s="9" t="s">
        <v>570</v>
      </c>
      <c r="M85" s="9" t="s">
        <v>424</v>
      </c>
      <c r="N85" s="9"/>
    </row>
    <row r="86" customFormat="false" ht="15" hidden="false" customHeight="true" outlineLevel="0" collapsed="false">
      <c r="A86" s="9" t="n">
        <v>82</v>
      </c>
      <c r="B86" s="9" t="s">
        <v>571</v>
      </c>
      <c r="C86" s="9" t="s">
        <v>572</v>
      </c>
      <c r="D86" s="9" t="s">
        <v>416</v>
      </c>
      <c r="E86" s="9" t="s">
        <v>435</v>
      </c>
      <c r="F86" s="9" t="s">
        <v>418</v>
      </c>
      <c r="G86" s="9" t="s">
        <v>573</v>
      </c>
      <c r="H86" s="9" t="s">
        <v>574</v>
      </c>
      <c r="I86" s="9" t="s">
        <v>421</v>
      </c>
      <c r="J86" s="9" t="s">
        <v>231</v>
      </c>
      <c r="K86" s="9" t="s">
        <v>575</v>
      </c>
      <c r="L86" s="9" t="s">
        <v>576</v>
      </c>
      <c r="M86" s="9" t="s">
        <v>424</v>
      </c>
      <c r="N86" s="9"/>
    </row>
    <row r="87" customFormat="false" ht="15" hidden="false" customHeight="true" outlineLevel="0" collapsed="false">
      <c r="A87" s="9" t="n">
        <v>83</v>
      </c>
      <c r="B87" s="9" t="s">
        <v>577</v>
      </c>
      <c r="C87" s="9" t="s">
        <v>157</v>
      </c>
      <c r="D87" s="9" t="s">
        <v>434</v>
      </c>
      <c r="E87" s="9" t="s">
        <v>461</v>
      </c>
      <c r="F87" s="9" t="s">
        <v>418</v>
      </c>
      <c r="G87" s="9" t="s">
        <v>578</v>
      </c>
      <c r="H87" s="9" t="s">
        <v>579</v>
      </c>
      <c r="I87" s="9" t="s">
        <v>421</v>
      </c>
      <c r="J87" s="9" t="s">
        <v>231</v>
      </c>
      <c r="K87" s="9" t="s">
        <v>580</v>
      </c>
      <c r="L87" s="9" t="s">
        <v>581</v>
      </c>
      <c r="M87" s="9" t="s">
        <v>424</v>
      </c>
      <c r="N87" s="9"/>
    </row>
    <row r="88" customFormat="false" ht="15" hidden="false" customHeight="true" outlineLevel="0" collapsed="false">
      <c r="A88" s="9" t="n">
        <v>84</v>
      </c>
      <c r="B88" s="9" t="s">
        <v>582</v>
      </c>
      <c r="C88" s="9" t="s">
        <v>583</v>
      </c>
      <c r="D88" s="9" t="s">
        <v>452</v>
      </c>
      <c r="E88" s="9" t="s">
        <v>428</v>
      </c>
      <c r="F88" s="9" t="s">
        <v>418</v>
      </c>
      <c r="G88" s="9" t="s">
        <v>584</v>
      </c>
      <c r="H88" s="9" t="s">
        <v>585</v>
      </c>
      <c r="I88" s="9" t="s">
        <v>421</v>
      </c>
      <c r="J88" s="9" t="s">
        <v>231</v>
      </c>
      <c r="K88" s="9" t="s">
        <v>586</v>
      </c>
      <c r="L88" s="9" t="s">
        <v>587</v>
      </c>
      <c r="M88" s="9" t="s">
        <v>424</v>
      </c>
      <c r="N88" s="9"/>
    </row>
    <row r="89" customFormat="false" ht="15" hidden="false" customHeight="true" outlineLevel="0" collapsed="false">
      <c r="A89" s="9" t="n">
        <v>85</v>
      </c>
      <c r="B89" s="9" t="s">
        <v>588</v>
      </c>
      <c r="C89" s="9" t="s">
        <v>589</v>
      </c>
      <c r="D89" s="9" t="s">
        <v>427</v>
      </c>
      <c r="E89" s="9" t="s">
        <v>446</v>
      </c>
      <c r="F89" s="9" t="s">
        <v>418</v>
      </c>
      <c r="G89" s="9" t="s">
        <v>179</v>
      </c>
      <c r="H89" s="9" t="s">
        <v>590</v>
      </c>
      <c r="I89" s="9" t="s">
        <v>421</v>
      </c>
      <c r="J89" s="9" t="s">
        <v>231</v>
      </c>
      <c r="K89" s="9" t="s">
        <v>591</v>
      </c>
      <c r="L89" s="9" t="s">
        <v>592</v>
      </c>
      <c r="M89" s="9" t="s">
        <v>424</v>
      </c>
      <c r="N89" s="9"/>
    </row>
    <row r="90" customFormat="false" ht="15" hidden="false" customHeight="true" outlineLevel="0" collapsed="false">
      <c r="A90" s="9" t="n">
        <v>86</v>
      </c>
      <c r="B90" s="9" t="s">
        <v>593</v>
      </c>
      <c r="C90" s="9" t="s">
        <v>594</v>
      </c>
      <c r="D90" s="9" t="s">
        <v>452</v>
      </c>
      <c r="E90" s="9" t="s">
        <v>435</v>
      </c>
      <c r="F90" s="9" t="s">
        <v>418</v>
      </c>
      <c r="G90" s="9" t="s">
        <v>595</v>
      </c>
      <c r="H90" s="9" t="s">
        <v>596</v>
      </c>
      <c r="I90" s="9" t="s">
        <v>421</v>
      </c>
      <c r="J90" s="9" t="s">
        <v>231</v>
      </c>
      <c r="K90" s="9" t="s">
        <v>597</v>
      </c>
      <c r="L90" s="9" t="s">
        <v>598</v>
      </c>
      <c r="M90" s="9" t="s">
        <v>424</v>
      </c>
      <c r="N90" s="9"/>
    </row>
    <row r="91" customFormat="false" ht="15" hidden="false" customHeight="true" outlineLevel="0" collapsed="false">
      <c r="A91" s="9" t="n">
        <v>87</v>
      </c>
      <c r="B91" s="9" t="s">
        <v>599</v>
      </c>
      <c r="C91" s="9" t="s">
        <v>600</v>
      </c>
      <c r="D91" s="9" t="s">
        <v>445</v>
      </c>
      <c r="E91" s="9" t="s">
        <v>435</v>
      </c>
      <c r="F91" s="9" t="s">
        <v>418</v>
      </c>
      <c r="G91" s="9" t="s">
        <v>601</v>
      </c>
      <c r="H91" s="9" t="s">
        <v>602</v>
      </c>
      <c r="I91" s="9" t="s">
        <v>421</v>
      </c>
      <c r="J91" s="9" t="s">
        <v>231</v>
      </c>
      <c r="K91" s="9" t="s">
        <v>603</v>
      </c>
      <c r="L91" s="9" t="s">
        <v>604</v>
      </c>
      <c r="M91" s="9" t="s">
        <v>424</v>
      </c>
      <c r="N91" s="9" t="s">
        <v>539</v>
      </c>
    </row>
    <row r="92" customFormat="false" ht="15" hidden="false" customHeight="true" outlineLevel="0" collapsed="false">
      <c r="A92" s="9" t="n">
        <v>88</v>
      </c>
      <c r="B92" s="9" t="s">
        <v>605</v>
      </c>
      <c r="C92" s="9" t="s">
        <v>606</v>
      </c>
      <c r="D92" s="9" t="s">
        <v>427</v>
      </c>
      <c r="E92" s="9" t="s">
        <v>435</v>
      </c>
      <c r="F92" s="9" t="s">
        <v>418</v>
      </c>
      <c r="G92" s="9" t="s">
        <v>607</v>
      </c>
      <c r="H92" s="9" t="s">
        <v>608</v>
      </c>
      <c r="I92" s="9" t="s">
        <v>421</v>
      </c>
      <c r="J92" s="9" t="s">
        <v>231</v>
      </c>
      <c r="K92" s="9" t="s">
        <v>609</v>
      </c>
      <c r="L92" s="9" t="s">
        <v>610</v>
      </c>
      <c r="M92" s="9" t="s">
        <v>424</v>
      </c>
      <c r="N92" s="9" t="s">
        <v>611</v>
      </c>
    </row>
    <row r="93" customFormat="false" ht="15" hidden="false" customHeight="true" outlineLevel="0" collapsed="false">
      <c r="A93" s="9" t="n">
        <v>89</v>
      </c>
      <c r="B93" s="9" t="s">
        <v>612</v>
      </c>
      <c r="C93" s="9" t="s">
        <v>613</v>
      </c>
      <c r="D93" s="9" t="s">
        <v>427</v>
      </c>
      <c r="E93" s="9" t="s">
        <v>461</v>
      </c>
      <c r="F93" s="9" t="s">
        <v>418</v>
      </c>
      <c r="G93" s="9" t="s">
        <v>614</v>
      </c>
      <c r="H93" s="9" t="s">
        <v>579</v>
      </c>
      <c r="I93" s="9" t="s">
        <v>421</v>
      </c>
      <c r="J93" s="9" t="s">
        <v>231</v>
      </c>
      <c r="K93" s="9" t="s">
        <v>615</v>
      </c>
      <c r="L93" s="9" t="s">
        <v>616</v>
      </c>
      <c r="M93" s="9" t="s">
        <v>424</v>
      </c>
      <c r="N93" s="9"/>
    </row>
    <row r="94" customFormat="false" ht="15" hidden="false" customHeight="true" outlineLevel="0" collapsed="false">
      <c r="A94" s="9" t="n">
        <v>90</v>
      </c>
      <c r="B94" s="9" t="s">
        <v>617</v>
      </c>
      <c r="C94" s="9" t="s">
        <v>618</v>
      </c>
      <c r="D94" s="9" t="s">
        <v>427</v>
      </c>
      <c r="E94" s="9" t="s">
        <v>461</v>
      </c>
      <c r="F94" s="9" t="s">
        <v>418</v>
      </c>
      <c r="G94" s="9" t="s">
        <v>619</v>
      </c>
      <c r="H94" s="9" t="s">
        <v>620</v>
      </c>
      <c r="I94" s="9" t="s">
        <v>421</v>
      </c>
      <c r="J94" s="9" t="s">
        <v>231</v>
      </c>
      <c r="K94" s="9" t="s">
        <v>621</v>
      </c>
      <c r="L94" s="9" t="s">
        <v>622</v>
      </c>
      <c r="M94" s="9" t="s">
        <v>424</v>
      </c>
      <c r="N94" s="9" t="s">
        <v>623</v>
      </c>
    </row>
    <row r="95" customFormat="false" ht="15" hidden="false" customHeight="true" outlineLevel="0" collapsed="false">
      <c r="A95" s="9" t="n">
        <v>91</v>
      </c>
      <c r="B95" s="9" t="s">
        <v>624</v>
      </c>
      <c r="C95" s="9" t="s">
        <v>625</v>
      </c>
      <c r="D95" s="9" t="s">
        <v>440</v>
      </c>
      <c r="E95" s="9" t="s">
        <v>435</v>
      </c>
      <c r="F95" s="9" t="s">
        <v>418</v>
      </c>
      <c r="G95" s="9" t="s">
        <v>626</v>
      </c>
      <c r="H95" s="9" t="s">
        <v>627</v>
      </c>
      <c r="I95" s="9" t="s">
        <v>421</v>
      </c>
      <c r="J95" s="9" t="s">
        <v>231</v>
      </c>
      <c r="K95" s="9" t="s">
        <v>628</v>
      </c>
      <c r="L95" s="9" t="s">
        <v>629</v>
      </c>
      <c r="M95" s="9" t="s">
        <v>424</v>
      </c>
      <c r="N95" s="9"/>
    </row>
    <row r="96" customFormat="false" ht="15" hidden="false" customHeight="true" outlineLevel="0" collapsed="false">
      <c r="A96" s="9" t="n">
        <v>92</v>
      </c>
      <c r="B96" s="9" t="s">
        <v>630</v>
      </c>
      <c r="C96" s="9" t="s">
        <v>407</v>
      </c>
      <c r="D96" s="9" t="s">
        <v>478</v>
      </c>
      <c r="E96" s="9" t="s">
        <v>446</v>
      </c>
      <c r="F96" s="9" t="s">
        <v>418</v>
      </c>
      <c r="G96" s="9" t="s">
        <v>409</v>
      </c>
      <c r="H96" s="9" t="s">
        <v>631</v>
      </c>
      <c r="I96" s="9" t="s">
        <v>421</v>
      </c>
      <c r="J96" s="9" t="s">
        <v>231</v>
      </c>
      <c r="K96" s="9" t="s">
        <v>632</v>
      </c>
      <c r="L96" s="9" t="s">
        <v>633</v>
      </c>
      <c r="M96" s="9" t="s">
        <v>424</v>
      </c>
      <c r="N96" s="9"/>
    </row>
    <row r="97" customFormat="false" ht="15" hidden="false" customHeight="true" outlineLevel="0" collapsed="false">
      <c r="A97" s="9" t="n">
        <v>93</v>
      </c>
      <c r="B97" s="9" t="s">
        <v>634</v>
      </c>
      <c r="C97" s="9" t="s">
        <v>635</v>
      </c>
      <c r="D97" s="9" t="s">
        <v>434</v>
      </c>
      <c r="E97" s="9" t="s">
        <v>461</v>
      </c>
      <c r="F97" s="9" t="s">
        <v>418</v>
      </c>
      <c r="G97" s="9" t="s">
        <v>636</v>
      </c>
      <c r="H97" s="9" t="s">
        <v>637</v>
      </c>
      <c r="I97" s="9" t="s">
        <v>421</v>
      </c>
      <c r="J97" s="9" t="s">
        <v>231</v>
      </c>
      <c r="K97" s="9" t="s">
        <v>638</v>
      </c>
      <c r="L97" s="9" t="s">
        <v>639</v>
      </c>
      <c r="M97" s="9" t="s">
        <v>424</v>
      </c>
      <c r="N97" s="9"/>
    </row>
    <row r="98" customFormat="false" ht="15" hidden="false" customHeight="true" outlineLevel="0" collapsed="false">
      <c r="A98" s="9" t="n">
        <v>94</v>
      </c>
      <c r="B98" s="9" t="s">
        <v>640</v>
      </c>
      <c r="C98" s="9" t="s">
        <v>641</v>
      </c>
      <c r="D98" s="9" t="s">
        <v>452</v>
      </c>
      <c r="E98" s="9" t="s">
        <v>435</v>
      </c>
      <c r="F98" s="9" t="s">
        <v>642</v>
      </c>
      <c r="G98" s="9" t="s">
        <v>643</v>
      </c>
      <c r="H98" s="9" t="s">
        <v>644</v>
      </c>
      <c r="I98" s="9" t="s">
        <v>421</v>
      </c>
      <c r="J98" s="9" t="s">
        <v>231</v>
      </c>
      <c r="K98" s="9" t="s">
        <v>645</v>
      </c>
      <c r="L98" s="9" t="s">
        <v>646</v>
      </c>
      <c r="M98" s="9" t="s">
        <v>424</v>
      </c>
      <c r="N98" s="9" t="s">
        <v>647</v>
      </c>
    </row>
    <row r="99" customFormat="false" ht="15" hidden="false" customHeight="true" outlineLevel="0" collapsed="false">
      <c r="A99" s="9" t="n">
        <v>95</v>
      </c>
      <c r="B99" s="9" t="s">
        <v>648</v>
      </c>
      <c r="C99" s="9" t="s">
        <v>649</v>
      </c>
      <c r="D99" s="9" t="s">
        <v>434</v>
      </c>
      <c r="E99" s="9" t="s">
        <v>435</v>
      </c>
      <c r="F99" s="9" t="s">
        <v>418</v>
      </c>
      <c r="G99" s="9" t="s">
        <v>650</v>
      </c>
      <c r="H99" s="9" t="s">
        <v>651</v>
      </c>
      <c r="I99" s="9" t="s">
        <v>421</v>
      </c>
      <c r="J99" s="9" t="s">
        <v>231</v>
      </c>
      <c r="K99" s="9" t="s">
        <v>652</v>
      </c>
      <c r="L99" s="9" t="s">
        <v>653</v>
      </c>
      <c r="M99" s="9" t="s">
        <v>424</v>
      </c>
      <c r="N99" s="9"/>
    </row>
    <row r="100" customFormat="false" ht="15" hidden="false" customHeight="true" outlineLevel="0" collapsed="false">
      <c r="A100" s="9" t="n">
        <v>96</v>
      </c>
      <c r="B100" s="9" t="s">
        <v>654</v>
      </c>
      <c r="C100" s="9" t="s">
        <v>655</v>
      </c>
      <c r="D100" s="9" t="s">
        <v>445</v>
      </c>
      <c r="E100" s="9" t="s">
        <v>446</v>
      </c>
      <c r="F100" s="9" t="s">
        <v>418</v>
      </c>
      <c r="G100" s="9" t="s">
        <v>656</v>
      </c>
      <c r="H100" s="9" t="s">
        <v>657</v>
      </c>
      <c r="I100" s="9" t="s">
        <v>421</v>
      </c>
      <c r="J100" s="9" t="s">
        <v>231</v>
      </c>
      <c r="K100" s="9" t="s">
        <v>658</v>
      </c>
      <c r="L100" s="9" t="s">
        <v>659</v>
      </c>
      <c r="M100" s="9" t="s">
        <v>424</v>
      </c>
      <c r="N100" s="9" t="s">
        <v>539</v>
      </c>
    </row>
    <row r="101" customFormat="false" ht="15" hidden="false" customHeight="true" outlineLevel="0" collapsed="false">
      <c r="A101" s="9" t="n">
        <v>97</v>
      </c>
      <c r="B101" s="9" t="s">
        <v>660</v>
      </c>
      <c r="C101" s="9" t="s">
        <v>661</v>
      </c>
      <c r="D101" s="9" t="s">
        <v>445</v>
      </c>
      <c r="E101" s="9" t="s">
        <v>461</v>
      </c>
      <c r="F101" s="9" t="s">
        <v>418</v>
      </c>
      <c r="G101" s="9" t="s">
        <v>662</v>
      </c>
      <c r="H101" s="9" t="s">
        <v>663</v>
      </c>
      <c r="I101" s="9" t="s">
        <v>421</v>
      </c>
      <c r="J101" s="9" t="s">
        <v>231</v>
      </c>
      <c r="K101" s="9" t="s">
        <v>664</v>
      </c>
      <c r="L101" s="9" t="s">
        <v>665</v>
      </c>
      <c r="M101" s="9" t="s">
        <v>424</v>
      </c>
      <c r="N101" s="9" t="s">
        <v>539</v>
      </c>
    </row>
    <row r="102" customFormat="false" ht="15" hidden="false" customHeight="true" outlineLevel="0" collapsed="false">
      <c r="A102" s="9" t="n">
        <v>98</v>
      </c>
      <c r="B102" s="9" t="s">
        <v>666</v>
      </c>
      <c r="C102" s="9" t="s">
        <v>667</v>
      </c>
      <c r="D102" s="9" t="s">
        <v>440</v>
      </c>
      <c r="E102" s="9" t="s">
        <v>668</v>
      </c>
      <c r="F102" s="9" t="s">
        <v>418</v>
      </c>
      <c r="G102" s="9" t="s">
        <v>669</v>
      </c>
      <c r="H102" s="9" t="s">
        <v>670</v>
      </c>
      <c r="I102" s="9" t="s">
        <v>421</v>
      </c>
      <c r="J102" s="9" t="s">
        <v>231</v>
      </c>
      <c r="K102" s="9" t="s">
        <v>671</v>
      </c>
      <c r="L102" s="9" t="s">
        <v>672</v>
      </c>
      <c r="M102" s="9" t="s">
        <v>424</v>
      </c>
      <c r="N102" s="9" t="s">
        <v>673</v>
      </c>
    </row>
    <row r="103" customFormat="false" ht="15" hidden="false" customHeight="true" outlineLevel="0" collapsed="false">
      <c r="A103" s="9" t="n">
        <v>99</v>
      </c>
      <c r="B103" s="9" t="s">
        <v>674</v>
      </c>
      <c r="C103" s="9" t="s">
        <v>675</v>
      </c>
      <c r="D103" s="9" t="s">
        <v>416</v>
      </c>
      <c r="E103" s="9" t="s">
        <v>676</v>
      </c>
      <c r="F103" s="9" t="s">
        <v>418</v>
      </c>
      <c r="G103" s="9" t="s">
        <v>677</v>
      </c>
      <c r="H103" s="9" t="s">
        <v>678</v>
      </c>
      <c r="I103" s="9" t="s">
        <v>421</v>
      </c>
      <c r="J103" s="9" t="s">
        <v>231</v>
      </c>
      <c r="K103" s="9" t="s">
        <v>679</v>
      </c>
      <c r="L103" s="9" t="s">
        <v>680</v>
      </c>
      <c r="M103" s="9" t="s">
        <v>424</v>
      </c>
      <c r="N103" s="9" t="s">
        <v>681</v>
      </c>
    </row>
    <row r="104" customFormat="false" ht="15" hidden="false" customHeight="true" outlineLevel="0" collapsed="false">
      <c r="A104" s="9" t="n">
        <v>100</v>
      </c>
      <c r="B104" s="9" t="s">
        <v>682</v>
      </c>
      <c r="C104" s="9" t="s">
        <v>157</v>
      </c>
      <c r="D104" s="9" t="s">
        <v>452</v>
      </c>
      <c r="E104" s="9" t="s">
        <v>417</v>
      </c>
      <c r="F104" s="9" t="s">
        <v>418</v>
      </c>
      <c r="G104" s="9" t="s">
        <v>683</v>
      </c>
      <c r="H104" s="9" t="s">
        <v>684</v>
      </c>
      <c r="I104" s="9" t="s">
        <v>421</v>
      </c>
      <c r="J104" s="9" t="s">
        <v>231</v>
      </c>
      <c r="K104" s="9" t="s">
        <v>685</v>
      </c>
      <c r="L104" s="9" t="s">
        <v>686</v>
      </c>
      <c r="M104" s="9" t="s">
        <v>424</v>
      </c>
      <c r="N104" s="9" t="s">
        <v>687</v>
      </c>
    </row>
    <row r="105" customFormat="false" ht="15" hidden="false" customHeight="true" outlineLevel="0" collapsed="false">
      <c r="A105" s="9" t="n">
        <v>101</v>
      </c>
      <c r="B105" s="9" t="s">
        <v>688</v>
      </c>
      <c r="C105" s="9" t="s">
        <v>689</v>
      </c>
      <c r="D105" s="9" t="s">
        <v>452</v>
      </c>
      <c r="E105" s="9" t="s">
        <v>461</v>
      </c>
      <c r="F105" s="9" t="s">
        <v>418</v>
      </c>
      <c r="G105" s="9" t="s">
        <v>690</v>
      </c>
      <c r="H105" s="9" t="s">
        <v>691</v>
      </c>
      <c r="I105" s="9" t="s">
        <v>421</v>
      </c>
      <c r="J105" s="9" t="s">
        <v>231</v>
      </c>
      <c r="K105" s="9" t="s">
        <v>692</v>
      </c>
      <c r="L105" s="9" t="s">
        <v>693</v>
      </c>
      <c r="M105" s="9" t="s">
        <v>424</v>
      </c>
      <c r="N105" s="9"/>
    </row>
    <row r="106" customFormat="false" ht="15" hidden="false" customHeight="true" outlineLevel="0" collapsed="false">
      <c r="A106" s="9" t="n">
        <v>102</v>
      </c>
      <c r="B106" s="9" t="s">
        <v>694</v>
      </c>
      <c r="C106" s="9" t="s">
        <v>695</v>
      </c>
      <c r="D106" s="9" t="s">
        <v>445</v>
      </c>
      <c r="E106" s="9" t="s">
        <v>435</v>
      </c>
      <c r="F106" s="9" t="s">
        <v>418</v>
      </c>
      <c r="G106" s="9" t="s">
        <v>696</v>
      </c>
      <c r="H106" s="9" t="s">
        <v>697</v>
      </c>
      <c r="I106" s="9" t="s">
        <v>421</v>
      </c>
      <c r="J106" s="9" t="s">
        <v>231</v>
      </c>
      <c r="K106" s="9" t="s">
        <v>698</v>
      </c>
      <c r="L106" s="9" t="s">
        <v>699</v>
      </c>
      <c r="M106" s="9" t="s">
        <v>424</v>
      </c>
      <c r="N106" s="9" t="s">
        <v>539</v>
      </c>
    </row>
    <row r="107" customFormat="false" ht="15" hidden="false" customHeight="true" outlineLevel="0" collapsed="false">
      <c r="A107" s="9" t="n">
        <v>103</v>
      </c>
      <c r="B107" s="9" t="s">
        <v>700</v>
      </c>
      <c r="C107" s="9" t="s">
        <v>701</v>
      </c>
      <c r="D107" s="9" t="s">
        <v>478</v>
      </c>
      <c r="E107" s="9" t="s">
        <v>456</v>
      </c>
      <c r="F107" s="9" t="s">
        <v>418</v>
      </c>
      <c r="G107" s="9" t="s">
        <v>702</v>
      </c>
      <c r="H107" s="9" t="s">
        <v>703</v>
      </c>
      <c r="I107" s="9" t="s">
        <v>421</v>
      </c>
      <c r="J107" s="9" t="s">
        <v>231</v>
      </c>
      <c r="K107" s="9" t="s">
        <v>704</v>
      </c>
      <c r="L107" s="9" t="s">
        <v>705</v>
      </c>
      <c r="M107" s="9" t="s">
        <v>424</v>
      </c>
      <c r="N107" s="9"/>
    </row>
    <row r="108" customFormat="false" ht="15" hidden="false" customHeight="true" outlineLevel="0" collapsed="false">
      <c r="A108" s="9" t="n">
        <v>104</v>
      </c>
      <c r="B108" s="9" t="s">
        <v>706</v>
      </c>
      <c r="C108" s="9" t="s">
        <v>707</v>
      </c>
      <c r="D108" s="9" t="s">
        <v>452</v>
      </c>
      <c r="E108" s="9" t="s">
        <v>446</v>
      </c>
      <c r="F108" s="9" t="s">
        <v>418</v>
      </c>
      <c r="G108" s="9" t="s">
        <v>708</v>
      </c>
      <c r="H108" s="9" t="s">
        <v>709</v>
      </c>
      <c r="I108" s="9" t="s">
        <v>421</v>
      </c>
      <c r="J108" s="9" t="s">
        <v>231</v>
      </c>
      <c r="K108" s="9" t="s">
        <v>710</v>
      </c>
      <c r="L108" s="9" t="s">
        <v>711</v>
      </c>
      <c r="M108" s="9" t="s">
        <v>424</v>
      </c>
      <c r="N108" s="9"/>
    </row>
    <row r="109" customFormat="false" ht="15" hidden="false" customHeight="true" outlineLevel="0" collapsed="false">
      <c r="A109" s="9" t="n">
        <v>105</v>
      </c>
      <c r="B109" s="9" t="s">
        <v>712</v>
      </c>
      <c r="C109" s="9" t="s">
        <v>713</v>
      </c>
      <c r="D109" s="9" t="s">
        <v>440</v>
      </c>
      <c r="E109" s="9" t="s">
        <v>485</v>
      </c>
      <c r="F109" s="9" t="s">
        <v>418</v>
      </c>
      <c r="G109" s="9" t="s">
        <v>714</v>
      </c>
      <c r="H109" s="9" t="s">
        <v>715</v>
      </c>
      <c r="I109" s="9" t="s">
        <v>421</v>
      </c>
      <c r="J109" s="9" t="s">
        <v>231</v>
      </c>
      <c r="K109" s="9" t="s">
        <v>716</v>
      </c>
      <c r="L109" s="9" t="s">
        <v>717</v>
      </c>
      <c r="M109" s="9" t="s">
        <v>424</v>
      </c>
      <c r="N109" s="9"/>
    </row>
    <row r="110" customFormat="false" ht="15" hidden="false" customHeight="true" outlineLevel="0" collapsed="false">
      <c r="A110" s="9" t="n">
        <v>106</v>
      </c>
      <c r="B110" s="9" t="s">
        <v>718</v>
      </c>
      <c r="C110" s="9" t="s">
        <v>719</v>
      </c>
      <c r="D110" s="9" t="s">
        <v>416</v>
      </c>
      <c r="E110" s="9" t="s">
        <v>720</v>
      </c>
      <c r="F110" s="9" t="s">
        <v>418</v>
      </c>
      <c r="G110" s="9" t="s">
        <v>721</v>
      </c>
      <c r="H110" s="9" t="s">
        <v>722</v>
      </c>
      <c r="I110" s="9" t="s">
        <v>421</v>
      </c>
      <c r="J110" s="9" t="s">
        <v>231</v>
      </c>
      <c r="K110" s="9" t="s">
        <v>723</v>
      </c>
      <c r="L110" s="9" t="s">
        <v>724</v>
      </c>
      <c r="M110" s="9" t="s">
        <v>424</v>
      </c>
      <c r="N110" s="9" t="s">
        <v>725</v>
      </c>
    </row>
    <row r="111" customFormat="false" ht="15" hidden="false" customHeight="true" outlineLevel="0" collapsed="false">
      <c r="A111" s="9" t="n">
        <v>107</v>
      </c>
      <c r="B111" s="9" t="s">
        <v>726</v>
      </c>
      <c r="C111" s="9" t="s">
        <v>727</v>
      </c>
      <c r="D111" s="9" t="s">
        <v>445</v>
      </c>
      <c r="E111" s="9" t="s">
        <v>456</v>
      </c>
      <c r="F111" s="9" t="s">
        <v>418</v>
      </c>
      <c r="G111" s="9" t="s">
        <v>728</v>
      </c>
      <c r="H111" s="9" t="s">
        <v>729</v>
      </c>
      <c r="I111" s="9" t="s">
        <v>421</v>
      </c>
      <c r="J111" s="9" t="s">
        <v>231</v>
      </c>
      <c r="K111" s="9" t="s">
        <v>730</v>
      </c>
      <c r="L111" s="9" t="s">
        <v>731</v>
      </c>
      <c r="M111" s="9" t="s">
        <v>424</v>
      </c>
      <c r="N111" s="9" t="s">
        <v>732</v>
      </c>
    </row>
    <row r="112" customFormat="false" ht="15" hidden="false" customHeight="true" outlineLevel="0" collapsed="false">
      <c r="A112" s="9" t="n">
        <v>108</v>
      </c>
      <c r="B112" s="9" t="s">
        <v>733</v>
      </c>
      <c r="C112" s="9" t="s">
        <v>734</v>
      </c>
      <c r="D112" s="9" t="s">
        <v>478</v>
      </c>
      <c r="E112" s="9" t="s">
        <v>485</v>
      </c>
      <c r="F112" s="9" t="s">
        <v>418</v>
      </c>
      <c r="G112" s="9" t="s">
        <v>735</v>
      </c>
      <c r="H112" s="9" t="s">
        <v>736</v>
      </c>
      <c r="I112" s="9" t="s">
        <v>421</v>
      </c>
      <c r="J112" s="9" t="s">
        <v>231</v>
      </c>
      <c r="K112" s="9" t="s">
        <v>737</v>
      </c>
      <c r="L112" s="9" t="s">
        <v>738</v>
      </c>
      <c r="M112" s="9" t="s">
        <v>424</v>
      </c>
      <c r="N112" s="9"/>
    </row>
    <row r="113" customFormat="false" ht="15" hidden="false" customHeight="true" outlineLevel="0" collapsed="false">
      <c r="A113" s="9" t="n">
        <v>109</v>
      </c>
      <c r="B113" s="9" t="s">
        <v>739</v>
      </c>
      <c r="C113" s="9" t="s">
        <v>740</v>
      </c>
      <c r="D113" s="9" t="s">
        <v>452</v>
      </c>
      <c r="E113" s="9" t="s">
        <v>428</v>
      </c>
      <c r="F113" s="9" t="s">
        <v>418</v>
      </c>
      <c r="G113" s="9" t="s">
        <v>741</v>
      </c>
      <c r="H113" s="9" t="s">
        <v>742</v>
      </c>
      <c r="I113" s="9" t="s">
        <v>421</v>
      </c>
      <c r="J113" s="9" t="s">
        <v>231</v>
      </c>
      <c r="K113" s="9" t="s">
        <v>743</v>
      </c>
      <c r="L113" s="9" t="s">
        <v>744</v>
      </c>
      <c r="M113" s="9" t="s">
        <v>424</v>
      </c>
      <c r="N113" s="9" t="s">
        <v>745</v>
      </c>
    </row>
    <row r="114" customFormat="false" ht="15" hidden="false" customHeight="true" outlineLevel="0" collapsed="false">
      <c r="A114" s="9" t="n">
        <v>110</v>
      </c>
      <c r="B114" s="9" t="s">
        <v>746</v>
      </c>
      <c r="C114" s="9" t="s">
        <v>203</v>
      </c>
      <c r="D114" s="9" t="s">
        <v>434</v>
      </c>
      <c r="E114" s="9" t="s">
        <v>446</v>
      </c>
      <c r="F114" s="9" t="s">
        <v>418</v>
      </c>
      <c r="G114" s="9" t="s">
        <v>747</v>
      </c>
      <c r="H114" s="9" t="s">
        <v>748</v>
      </c>
      <c r="I114" s="9" t="s">
        <v>421</v>
      </c>
      <c r="J114" s="9" t="s">
        <v>231</v>
      </c>
      <c r="K114" s="9" t="s">
        <v>749</v>
      </c>
      <c r="L114" s="9" t="s">
        <v>750</v>
      </c>
      <c r="M114" s="9" t="s">
        <v>424</v>
      </c>
      <c r="N114" s="9" t="s">
        <v>751</v>
      </c>
    </row>
    <row r="115" customFormat="false" ht="15" hidden="false" customHeight="true" outlineLevel="0" collapsed="false">
      <c r="A115" s="9" t="n">
        <v>111</v>
      </c>
      <c r="B115" s="9" t="s">
        <v>752</v>
      </c>
      <c r="C115" s="9" t="s">
        <v>753</v>
      </c>
      <c r="D115" s="9" t="s">
        <v>434</v>
      </c>
      <c r="E115" s="9" t="s">
        <v>485</v>
      </c>
      <c r="F115" s="9" t="s">
        <v>418</v>
      </c>
      <c r="G115" s="9" t="s">
        <v>754</v>
      </c>
      <c r="H115" s="9" t="s">
        <v>755</v>
      </c>
      <c r="I115" s="9" t="s">
        <v>421</v>
      </c>
      <c r="J115" s="9" t="s">
        <v>231</v>
      </c>
      <c r="K115" s="9" t="s">
        <v>756</v>
      </c>
      <c r="L115" s="9" t="s">
        <v>757</v>
      </c>
      <c r="M115" s="9" t="s">
        <v>424</v>
      </c>
      <c r="N115" s="9"/>
    </row>
    <row r="116" customFormat="false" ht="15" hidden="false" customHeight="true" outlineLevel="0" collapsed="false">
      <c r="A116" s="9" t="n">
        <v>112</v>
      </c>
      <c r="B116" s="9" t="s">
        <v>47</v>
      </c>
      <c r="C116" s="9" t="s">
        <v>758</v>
      </c>
      <c r="D116" s="9" t="s">
        <v>440</v>
      </c>
      <c r="E116" s="9" t="s">
        <v>417</v>
      </c>
      <c r="F116" s="9" t="s">
        <v>418</v>
      </c>
      <c r="G116" s="9" t="s">
        <v>52</v>
      </c>
      <c r="H116" s="9" t="s">
        <v>579</v>
      </c>
      <c r="I116" s="9" t="s">
        <v>421</v>
      </c>
      <c r="J116" s="9" t="s">
        <v>231</v>
      </c>
      <c r="K116" s="9" t="s">
        <v>759</v>
      </c>
      <c r="L116" s="9" t="s">
        <v>760</v>
      </c>
      <c r="M116" s="9" t="s">
        <v>424</v>
      </c>
      <c r="N116" s="9"/>
    </row>
    <row r="117" customFormat="false" ht="15" hidden="false" customHeight="true" outlineLevel="0" collapsed="false">
      <c r="A117" s="9" t="n">
        <v>113</v>
      </c>
      <c r="B117" s="9" t="s">
        <v>761</v>
      </c>
      <c r="C117" s="9" t="s">
        <v>762</v>
      </c>
      <c r="D117" s="9" t="s">
        <v>427</v>
      </c>
      <c r="E117" s="9" t="s">
        <v>446</v>
      </c>
      <c r="F117" s="9" t="s">
        <v>418</v>
      </c>
      <c r="G117" s="9" t="s">
        <v>763</v>
      </c>
      <c r="H117" s="9" t="s">
        <v>764</v>
      </c>
      <c r="I117" s="9" t="s">
        <v>421</v>
      </c>
      <c r="J117" s="9" t="s">
        <v>231</v>
      </c>
      <c r="K117" s="9" t="s">
        <v>765</v>
      </c>
      <c r="L117" s="9" t="s">
        <v>766</v>
      </c>
      <c r="M117" s="9" t="s">
        <v>424</v>
      </c>
      <c r="N117" s="9" t="s">
        <v>767</v>
      </c>
    </row>
    <row r="118" customFormat="false" ht="15" hidden="false" customHeight="true" outlineLevel="0" collapsed="false">
      <c r="A118" s="9" t="n">
        <v>114</v>
      </c>
      <c r="B118" s="9" t="s">
        <v>768</v>
      </c>
      <c r="C118" s="9" t="s">
        <v>769</v>
      </c>
      <c r="D118" s="9" t="s">
        <v>427</v>
      </c>
      <c r="E118" s="9" t="s">
        <v>485</v>
      </c>
      <c r="F118" s="9" t="s">
        <v>418</v>
      </c>
      <c r="G118" s="9" t="s">
        <v>770</v>
      </c>
      <c r="H118" s="9" t="s">
        <v>771</v>
      </c>
      <c r="I118" s="9" t="s">
        <v>421</v>
      </c>
      <c r="J118" s="9" t="s">
        <v>231</v>
      </c>
      <c r="K118" s="9" t="s">
        <v>772</v>
      </c>
      <c r="L118" s="9" t="s">
        <v>773</v>
      </c>
      <c r="M118" s="9" t="s">
        <v>424</v>
      </c>
      <c r="N118" s="9" t="s">
        <v>774</v>
      </c>
    </row>
    <row r="119" customFormat="false" ht="15" hidden="false" customHeight="true" outlineLevel="0" collapsed="false">
      <c r="A119" s="9" t="n">
        <v>115</v>
      </c>
      <c r="B119" s="9" t="s">
        <v>775</v>
      </c>
      <c r="C119" s="9" t="s">
        <v>776</v>
      </c>
      <c r="D119" s="9" t="s">
        <v>434</v>
      </c>
      <c r="E119" s="9" t="s">
        <v>446</v>
      </c>
      <c r="F119" s="9" t="s">
        <v>418</v>
      </c>
      <c r="G119" s="9" t="s">
        <v>777</v>
      </c>
      <c r="H119" s="9" t="s">
        <v>778</v>
      </c>
      <c r="I119" s="9" t="s">
        <v>421</v>
      </c>
      <c r="J119" s="9" t="s">
        <v>231</v>
      </c>
      <c r="K119" s="9" t="s">
        <v>779</v>
      </c>
      <c r="L119" s="9" t="s">
        <v>780</v>
      </c>
      <c r="M119" s="9" t="s">
        <v>424</v>
      </c>
      <c r="N119" s="9"/>
    </row>
    <row r="120" customFormat="false" ht="15" hidden="false" customHeight="true" outlineLevel="0" collapsed="false">
      <c r="A120" s="9" t="n">
        <v>116</v>
      </c>
      <c r="B120" s="9" t="s">
        <v>781</v>
      </c>
      <c r="C120" s="9" t="s">
        <v>782</v>
      </c>
      <c r="D120" s="9" t="s">
        <v>434</v>
      </c>
      <c r="E120" s="9" t="s">
        <v>435</v>
      </c>
      <c r="F120" s="9" t="s">
        <v>418</v>
      </c>
      <c r="G120" s="9" t="s">
        <v>783</v>
      </c>
      <c r="H120" s="9" t="s">
        <v>784</v>
      </c>
      <c r="I120" s="9" t="s">
        <v>421</v>
      </c>
      <c r="J120" s="9" t="s">
        <v>231</v>
      </c>
      <c r="K120" s="9" t="s">
        <v>785</v>
      </c>
      <c r="L120" s="9" t="s">
        <v>786</v>
      </c>
      <c r="M120" s="9" t="s">
        <v>424</v>
      </c>
      <c r="N120" s="9"/>
    </row>
    <row r="121" customFormat="false" ht="15" hidden="false" customHeight="true" outlineLevel="0" collapsed="false">
      <c r="A121" s="9" t="n">
        <v>117</v>
      </c>
      <c r="B121" s="9" t="s">
        <v>787</v>
      </c>
      <c r="C121" s="9" t="s">
        <v>788</v>
      </c>
      <c r="D121" s="9" t="s">
        <v>434</v>
      </c>
      <c r="E121" s="9" t="s">
        <v>456</v>
      </c>
      <c r="F121" s="9" t="s">
        <v>418</v>
      </c>
      <c r="G121" s="9" t="s">
        <v>789</v>
      </c>
      <c r="H121" s="9" t="s">
        <v>790</v>
      </c>
      <c r="I121" s="9" t="s">
        <v>421</v>
      </c>
      <c r="J121" s="9" t="s">
        <v>231</v>
      </c>
      <c r="K121" s="9" t="s">
        <v>791</v>
      </c>
      <c r="L121" s="9" t="s">
        <v>792</v>
      </c>
      <c r="M121" s="9" t="s">
        <v>424</v>
      </c>
      <c r="N121" s="9" t="s">
        <v>793</v>
      </c>
    </row>
    <row r="122" customFormat="false" ht="15" hidden="false" customHeight="true" outlineLevel="0" collapsed="false">
      <c r="A122" s="9" t="n">
        <v>118</v>
      </c>
      <c r="B122" s="9" t="s">
        <v>794</v>
      </c>
      <c r="C122" s="9" t="s">
        <v>795</v>
      </c>
      <c r="D122" s="9" t="s">
        <v>452</v>
      </c>
      <c r="E122" s="9" t="s">
        <v>446</v>
      </c>
      <c r="F122" s="9" t="s">
        <v>418</v>
      </c>
      <c r="G122" s="9" t="s">
        <v>796</v>
      </c>
      <c r="H122" s="9" t="s">
        <v>797</v>
      </c>
      <c r="I122" s="9" t="s">
        <v>421</v>
      </c>
      <c r="J122" s="9" t="s">
        <v>231</v>
      </c>
      <c r="K122" s="9" t="s">
        <v>798</v>
      </c>
      <c r="L122" s="9" t="s">
        <v>799</v>
      </c>
      <c r="M122" s="9" t="s">
        <v>424</v>
      </c>
      <c r="N122" s="9"/>
    </row>
    <row r="123" customFormat="false" ht="15" hidden="false" customHeight="true" outlineLevel="0" collapsed="false">
      <c r="A123" s="9" t="n">
        <v>119</v>
      </c>
      <c r="B123" s="9" t="s">
        <v>800</v>
      </c>
      <c r="C123" s="9" t="s">
        <v>801</v>
      </c>
      <c r="D123" s="9" t="s">
        <v>434</v>
      </c>
      <c r="E123" s="9" t="s">
        <v>461</v>
      </c>
      <c r="F123" s="9" t="s">
        <v>418</v>
      </c>
      <c r="G123" s="9" t="s">
        <v>802</v>
      </c>
      <c r="H123" s="9" t="s">
        <v>803</v>
      </c>
      <c r="I123" s="9" t="s">
        <v>421</v>
      </c>
      <c r="J123" s="9" t="s">
        <v>231</v>
      </c>
      <c r="K123" s="9" t="s">
        <v>804</v>
      </c>
      <c r="L123" s="9" t="s">
        <v>805</v>
      </c>
      <c r="M123" s="9" t="s">
        <v>424</v>
      </c>
      <c r="N123" s="9" t="s">
        <v>806</v>
      </c>
    </row>
    <row r="124" customFormat="false" ht="15" hidden="false" customHeight="true" outlineLevel="0" collapsed="false">
      <c r="A124" s="9" t="n">
        <v>120</v>
      </c>
      <c r="B124" s="9" t="s">
        <v>807</v>
      </c>
      <c r="C124" s="9" t="s">
        <v>808</v>
      </c>
      <c r="D124" s="9" t="s">
        <v>445</v>
      </c>
      <c r="E124" s="9" t="s">
        <v>417</v>
      </c>
      <c r="F124" s="9" t="s">
        <v>418</v>
      </c>
      <c r="G124" s="9" t="s">
        <v>809</v>
      </c>
      <c r="H124" s="9" t="s">
        <v>810</v>
      </c>
      <c r="I124" s="9" t="s">
        <v>421</v>
      </c>
      <c r="J124" s="9" t="s">
        <v>231</v>
      </c>
      <c r="K124" s="9" t="s">
        <v>811</v>
      </c>
      <c r="L124" s="9" t="s">
        <v>812</v>
      </c>
      <c r="M124" s="9" t="s">
        <v>424</v>
      </c>
      <c r="N124" s="9" t="s">
        <v>813</v>
      </c>
    </row>
    <row r="125" customFormat="false" ht="15" hidden="false" customHeight="true" outlineLevel="0" collapsed="false">
      <c r="A125" s="9" t="n">
        <v>121</v>
      </c>
      <c r="B125" s="9" t="s">
        <v>814</v>
      </c>
      <c r="C125" s="9" t="s">
        <v>815</v>
      </c>
      <c r="D125" s="9" t="s">
        <v>816</v>
      </c>
      <c r="E125" s="9" t="s">
        <v>817</v>
      </c>
      <c r="F125" s="9" t="s">
        <v>418</v>
      </c>
      <c r="G125" s="9" t="s">
        <v>818</v>
      </c>
      <c r="H125" s="9" t="s">
        <v>819</v>
      </c>
      <c r="I125" s="9" t="s">
        <v>421</v>
      </c>
      <c r="J125" s="9" t="s">
        <v>231</v>
      </c>
      <c r="K125" s="9" t="s">
        <v>820</v>
      </c>
      <c r="L125" s="9" t="s">
        <v>821</v>
      </c>
      <c r="M125" s="9" t="s">
        <v>424</v>
      </c>
      <c r="N125" s="9" t="s">
        <v>822</v>
      </c>
    </row>
    <row r="126" customFormat="false" ht="15" hidden="false" customHeight="true" outlineLevel="0" collapsed="false">
      <c r="A126" s="9" t="n">
        <v>122</v>
      </c>
      <c r="B126" s="9" t="s">
        <v>823</v>
      </c>
      <c r="C126" s="9" t="s">
        <v>824</v>
      </c>
      <c r="D126" s="9" t="s">
        <v>816</v>
      </c>
      <c r="E126" s="9" t="s">
        <v>485</v>
      </c>
      <c r="F126" s="9" t="s">
        <v>418</v>
      </c>
      <c r="G126" s="9" t="s">
        <v>825</v>
      </c>
      <c r="H126" s="9" t="s">
        <v>826</v>
      </c>
      <c r="I126" s="9" t="s">
        <v>421</v>
      </c>
      <c r="J126" s="9" t="s">
        <v>231</v>
      </c>
      <c r="K126" s="9" t="s">
        <v>827</v>
      </c>
      <c r="L126" s="9" t="s">
        <v>828</v>
      </c>
      <c r="M126" s="9" t="s">
        <v>424</v>
      </c>
      <c r="N126" s="9" t="s">
        <v>829</v>
      </c>
    </row>
    <row r="127" customFormat="false" ht="15" hidden="false" customHeight="true" outlineLevel="0" collapsed="false">
      <c r="A127" s="9" t="n">
        <v>123</v>
      </c>
      <c r="B127" s="9" t="s">
        <v>830</v>
      </c>
      <c r="C127" s="9" t="s">
        <v>831</v>
      </c>
      <c r="D127" s="9" t="s">
        <v>440</v>
      </c>
      <c r="E127" s="9" t="s">
        <v>456</v>
      </c>
      <c r="F127" s="9" t="s">
        <v>418</v>
      </c>
      <c r="G127" s="9" t="s">
        <v>832</v>
      </c>
      <c r="H127" s="9" t="s">
        <v>833</v>
      </c>
      <c r="I127" s="9" t="s">
        <v>421</v>
      </c>
      <c r="J127" s="9" t="s">
        <v>231</v>
      </c>
      <c r="K127" s="9" t="s">
        <v>834</v>
      </c>
      <c r="L127" s="9" t="s">
        <v>835</v>
      </c>
      <c r="M127" s="9" t="s">
        <v>424</v>
      </c>
      <c r="N127" s="9" t="s">
        <v>836</v>
      </c>
    </row>
    <row r="128" customFormat="false" ht="15" hidden="false" customHeight="true" outlineLevel="0" collapsed="false">
      <c r="A128" s="9" t="n">
        <v>124</v>
      </c>
      <c r="B128" s="9" t="s">
        <v>837</v>
      </c>
      <c r="C128" s="9" t="s">
        <v>838</v>
      </c>
      <c r="D128" s="9" t="s">
        <v>478</v>
      </c>
      <c r="E128" s="9" t="s">
        <v>435</v>
      </c>
      <c r="F128" s="9" t="s">
        <v>418</v>
      </c>
      <c r="G128" s="9" t="s">
        <v>839</v>
      </c>
      <c r="H128" s="9" t="s">
        <v>840</v>
      </c>
      <c r="I128" s="9" t="s">
        <v>421</v>
      </c>
      <c r="J128" s="9" t="s">
        <v>231</v>
      </c>
      <c r="K128" s="9" t="s">
        <v>841</v>
      </c>
      <c r="L128" s="9" t="s">
        <v>842</v>
      </c>
      <c r="M128" s="9" t="s">
        <v>424</v>
      </c>
      <c r="N128" s="9" t="s">
        <v>843</v>
      </c>
    </row>
    <row r="129" customFormat="false" ht="15" hidden="false" customHeight="true" outlineLevel="0" collapsed="false">
      <c r="A129" s="9" t="n">
        <v>125</v>
      </c>
      <c r="B129" s="9" t="s">
        <v>844</v>
      </c>
      <c r="C129" s="9" t="s">
        <v>845</v>
      </c>
      <c r="D129" s="9" t="s">
        <v>445</v>
      </c>
      <c r="E129" s="9" t="s">
        <v>846</v>
      </c>
      <c r="F129" s="9" t="s">
        <v>418</v>
      </c>
      <c r="G129" s="9" t="s">
        <v>847</v>
      </c>
      <c r="H129" s="9" t="s">
        <v>848</v>
      </c>
      <c r="I129" s="9" t="s">
        <v>421</v>
      </c>
      <c r="J129" s="9" t="s">
        <v>231</v>
      </c>
      <c r="K129" s="9" t="s">
        <v>849</v>
      </c>
      <c r="L129" s="9" t="s">
        <v>850</v>
      </c>
      <c r="M129" s="9" t="s">
        <v>424</v>
      </c>
      <c r="N129" s="9" t="s">
        <v>851</v>
      </c>
    </row>
    <row r="130" customFormat="false" ht="15" hidden="false" customHeight="true" outlineLevel="0" collapsed="false">
      <c r="A130" s="9" t="n">
        <v>126</v>
      </c>
      <c r="B130" s="9" t="s">
        <v>852</v>
      </c>
      <c r="C130" s="9" t="s">
        <v>853</v>
      </c>
      <c r="D130" s="9" t="s">
        <v>478</v>
      </c>
      <c r="E130" s="9" t="s">
        <v>817</v>
      </c>
      <c r="F130" s="9" t="s">
        <v>418</v>
      </c>
      <c r="G130" s="9" t="s">
        <v>854</v>
      </c>
      <c r="H130" s="9" t="s">
        <v>855</v>
      </c>
      <c r="I130" s="9" t="s">
        <v>421</v>
      </c>
      <c r="J130" s="9" t="s">
        <v>231</v>
      </c>
      <c r="K130" s="9" t="s">
        <v>856</v>
      </c>
      <c r="L130" s="9" t="s">
        <v>857</v>
      </c>
      <c r="M130" s="9" t="s">
        <v>424</v>
      </c>
      <c r="N130" s="9" t="s">
        <v>858</v>
      </c>
    </row>
    <row r="131" customFormat="false" ht="15" hidden="false" customHeight="true" outlineLevel="0" collapsed="false">
      <c r="A131" s="9" t="n">
        <v>127</v>
      </c>
      <c r="B131" s="9" t="s">
        <v>859</v>
      </c>
      <c r="C131" s="9" t="s">
        <v>860</v>
      </c>
      <c r="D131" s="9" t="s">
        <v>816</v>
      </c>
      <c r="E131" s="9" t="s">
        <v>861</v>
      </c>
      <c r="F131" s="9" t="s">
        <v>418</v>
      </c>
      <c r="G131" s="9" t="s">
        <v>862</v>
      </c>
      <c r="H131" s="9" t="s">
        <v>863</v>
      </c>
      <c r="I131" s="9" t="s">
        <v>421</v>
      </c>
      <c r="J131" s="9" t="s">
        <v>231</v>
      </c>
      <c r="K131" s="9" t="s">
        <v>864</v>
      </c>
      <c r="L131" s="9" t="s">
        <v>865</v>
      </c>
      <c r="M131" s="9" t="s">
        <v>424</v>
      </c>
      <c r="N131" s="9" t="s">
        <v>866</v>
      </c>
    </row>
    <row r="132" customFormat="false" ht="15" hidden="false" customHeight="true" outlineLevel="0" collapsed="false">
      <c r="A132" s="9" t="n">
        <v>128</v>
      </c>
      <c r="B132" s="9" t="s">
        <v>867</v>
      </c>
      <c r="C132" s="9" t="s">
        <v>868</v>
      </c>
      <c r="D132" s="9" t="s">
        <v>452</v>
      </c>
      <c r="E132" s="9" t="s">
        <v>446</v>
      </c>
      <c r="F132" s="9" t="s">
        <v>418</v>
      </c>
      <c r="G132" s="9" t="s">
        <v>869</v>
      </c>
      <c r="H132" s="9" t="s">
        <v>870</v>
      </c>
      <c r="I132" s="9" t="s">
        <v>421</v>
      </c>
      <c r="J132" s="9" t="s">
        <v>231</v>
      </c>
      <c r="K132" s="9" t="s">
        <v>871</v>
      </c>
      <c r="L132" s="9" t="s">
        <v>872</v>
      </c>
      <c r="M132" s="9" t="s">
        <v>424</v>
      </c>
      <c r="N132" s="9" t="s">
        <v>873</v>
      </c>
    </row>
    <row r="133" customFormat="false" ht="15" hidden="false" customHeight="true" outlineLevel="0" collapsed="false">
      <c r="A133" s="9" t="n">
        <v>129</v>
      </c>
      <c r="B133" s="9" t="s">
        <v>874</v>
      </c>
      <c r="C133" s="9" t="s">
        <v>875</v>
      </c>
      <c r="D133" s="9" t="s">
        <v>816</v>
      </c>
      <c r="E133" s="9" t="s">
        <v>876</v>
      </c>
      <c r="F133" s="9" t="s">
        <v>418</v>
      </c>
      <c r="G133" s="9" t="s">
        <v>877</v>
      </c>
      <c r="H133" s="9" t="s">
        <v>878</v>
      </c>
      <c r="I133" s="9" t="s">
        <v>421</v>
      </c>
      <c r="J133" s="9" t="s">
        <v>231</v>
      </c>
      <c r="K133" s="9" t="s">
        <v>879</v>
      </c>
      <c r="L133" s="9" t="s">
        <v>880</v>
      </c>
      <c r="M133" s="9" t="s">
        <v>424</v>
      </c>
      <c r="N133" s="9" t="s">
        <v>881</v>
      </c>
    </row>
    <row r="134" customFormat="false" ht="15" hidden="false" customHeight="true" outlineLevel="0" collapsed="false">
      <c r="A134" s="9" t="n">
        <v>130</v>
      </c>
      <c r="B134" s="9" t="s">
        <v>882</v>
      </c>
      <c r="C134" s="9" t="s">
        <v>883</v>
      </c>
      <c r="D134" s="9" t="s">
        <v>816</v>
      </c>
      <c r="E134" s="9" t="s">
        <v>884</v>
      </c>
      <c r="F134" s="9" t="s">
        <v>418</v>
      </c>
      <c r="G134" s="9" t="s">
        <v>885</v>
      </c>
      <c r="H134" s="9" t="s">
        <v>886</v>
      </c>
      <c r="I134" s="9" t="s">
        <v>421</v>
      </c>
      <c r="J134" s="9" t="s">
        <v>231</v>
      </c>
      <c r="K134" s="9" t="s">
        <v>887</v>
      </c>
      <c r="L134" s="9" t="s">
        <v>888</v>
      </c>
      <c r="M134" s="9" t="s">
        <v>424</v>
      </c>
      <c r="N134" s="9" t="s">
        <v>889</v>
      </c>
    </row>
    <row r="135" customFormat="false" ht="15" hidden="false" customHeight="true" outlineLevel="0" collapsed="false">
      <c r="A135" s="9" t="n">
        <v>131</v>
      </c>
      <c r="B135" s="9" t="s">
        <v>890</v>
      </c>
      <c r="C135" s="9" t="s">
        <v>891</v>
      </c>
      <c r="D135" s="9" t="s">
        <v>816</v>
      </c>
      <c r="E135" s="9" t="s">
        <v>456</v>
      </c>
      <c r="F135" s="9" t="s">
        <v>418</v>
      </c>
      <c r="G135" s="9" t="s">
        <v>892</v>
      </c>
      <c r="H135" s="9" t="s">
        <v>893</v>
      </c>
      <c r="I135" s="9" t="s">
        <v>421</v>
      </c>
      <c r="J135" s="9" t="s">
        <v>231</v>
      </c>
      <c r="K135" s="9" t="s">
        <v>894</v>
      </c>
      <c r="L135" s="9" t="s">
        <v>895</v>
      </c>
      <c r="M135" s="9" t="s">
        <v>424</v>
      </c>
      <c r="N135" s="9" t="s">
        <v>896</v>
      </c>
    </row>
    <row r="136" customFormat="false" ht="15" hidden="false" customHeight="true" outlineLevel="0" collapsed="false">
      <c r="A136" s="9" t="n">
        <v>132</v>
      </c>
      <c r="B136" s="9" t="s">
        <v>897</v>
      </c>
      <c r="C136" s="9" t="s">
        <v>898</v>
      </c>
      <c r="D136" s="9" t="s">
        <v>427</v>
      </c>
      <c r="E136" s="9" t="s">
        <v>500</v>
      </c>
      <c r="F136" s="9" t="s">
        <v>418</v>
      </c>
      <c r="G136" s="9" t="s">
        <v>899</v>
      </c>
      <c r="H136" s="9" t="s">
        <v>900</v>
      </c>
      <c r="I136" s="9" t="s">
        <v>421</v>
      </c>
      <c r="J136" s="9" t="s">
        <v>231</v>
      </c>
      <c r="K136" s="9" t="s">
        <v>901</v>
      </c>
      <c r="L136" s="9" t="s">
        <v>902</v>
      </c>
      <c r="M136" s="9" t="s">
        <v>424</v>
      </c>
      <c r="N136" s="9" t="s">
        <v>903</v>
      </c>
    </row>
    <row r="137" customFormat="false" ht="15" hidden="false" customHeight="true" outlineLevel="0" collapsed="false">
      <c r="A137" s="9" t="n">
        <v>133</v>
      </c>
      <c r="B137" s="9" t="s">
        <v>904</v>
      </c>
      <c r="C137" s="9" t="s">
        <v>905</v>
      </c>
      <c r="D137" s="9" t="s">
        <v>440</v>
      </c>
      <c r="E137" s="9" t="s">
        <v>446</v>
      </c>
      <c r="F137" s="9" t="s">
        <v>418</v>
      </c>
      <c r="G137" s="9" t="s">
        <v>906</v>
      </c>
      <c r="H137" s="9" t="s">
        <v>907</v>
      </c>
      <c r="I137" s="9" t="s">
        <v>421</v>
      </c>
      <c r="J137" s="9" t="s">
        <v>231</v>
      </c>
      <c r="K137" s="9" t="s">
        <v>908</v>
      </c>
      <c r="L137" s="9" t="s">
        <v>909</v>
      </c>
      <c r="M137" s="9" t="s">
        <v>424</v>
      </c>
      <c r="N137" s="9" t="s">
        <v>910</v>
      </c>
    </row>
    <row r="138" customFormat="false" ht="15" hidden="false" customHeight="true" outlineLevel="0" collapsed="false">
      <c r="A138" s="9" t="n">
        <v>134</v>
      </c>
      <c r="B138" s="9" t="s">
        <v>911</v>
      </c>
      <c r="C138" s="9" t="s">
        <v>912</v>
      </c>
      <c r="D138" s="9" t="s">
        <v>816</v>
      </c>
      <c r="E138" s="9" t="s">
        <v>485</v>
      </c>
      <c r="F138" s="9" t="s">
        <v>418</v>
      </c>
      <c r="G138" s="9" t="s">
        <v>913</v>
      </c>
      <c r="H138" s="9" t="s">
        <v>914</v>
      </c>
      <c r="I138" s="9" t="s">
        <v>421</v>
      </c>
      <c r="J138" s="9" t="s">
        <v>231</v>
      </c>
      <c r="K138" s="9" t="s">
        <v>915</v>
      </c>
      <c r="L138" s="9" t="s">
        <v>916</v>
      </c>
      <c r="M138" s="9" t="s">
        <v>424</v>
      </c>
      <c r="N138" s="9" t="s">
        <v>917</v>
      </c>
    </row>
    <row r="139" customFormat="false" ht="15" hidden="false" customHeight="true" outlineLevel="0" collapsed="false">
      <c r="A139" s="9" t="n">
        <v>135</v>
      </c>
      <c r="B139" s="9" t="s">
        <v>918</v>
      </c>
      <c r="C139" s="9" t="s">
        <v>919</v>
      </c>
      <c r="D139" s="9" t="s">
        <v>434</v>
      </c>
      <c r="E139" s="9" t="s">
        <v>428</v>
      </c>
      <c r="F139" s="9" t="s">
        <v>418</v>
      </c>
      <c r="G139" s="9" t="s">
        <v>920</v>
      </c>
      <c r="H139" s="9" t="s">
        <v>921</v>
      </c>
      <c r="I139" s="9" t="s">
        <v>421</v>
      </c>
      <c r="J139" s="9" t="s">
        <v>231</v>
      </c>
      <c r="K139" s="9" t="s">
        <v>922</v>
      </c>
      <c r="L139" s="9" t="s">
        <v>923</v>
      </c>
      <c r="M139" s="9" t="s">
        <v>424</v>
      </c>
      <c r="N139" s="9" t="s">
        <v>924</v>
      </c>
    </row>
    <row r="140" customFormat="false" ht="15" hidden="false" customHeight="true" outlineLevel="0" collapsed="false">
      <c r="A140" s="9" t="n">
        <v>136</v>
      </c>
      <c r="B140" s="9" t="s">
        <v>925</v>
      </c>
      <c r="C140" s="9" t="s">
        <v>926</v>
      </c>
      <c r="D140" s="9" t="s">
        <v>434</v>
      </c>
      <c r="E140" s="9" t="s">
        <v>861</v>
      </c>
      <c r="F140" s="9" t="s">
        <v>418</v>
      </c>
      <c r="G140" s="9" t="s">
        <v>927</v>
      </c>
      <c r="H140" s="9" t="s">
        <v>928</v>
      </c>
      <c r="I140" s="9" t="s">
        <v>421</v>
      </c>
      <c r="J140" s="9" t="s">
        <v>231</v>
      </c>
      <c r="K140" s="9" t="s">
        <v>929</v>
      </c>
      <c r="L140" s="9" t="s">
        <v>930</v>
      </c>
      <c r="M140" s="9" t="s">
        <v>424</v>
      </c>
      <c r="N140" s="9" t="s">
        <v>931</v>
      </c>
    </row>
    <row r="141" customFormat="false" ht="15" hidden="false" customHeight="true" outlineLevel="0" collapsed="false">
      <c r="A141" s="9" t="n">
        <v>137</v>
      </c>
      <c r="B141" s="9" t="s">
        <v>932</v>
      </c>
      <c r="C141" s="9" t="s">
        <v>933</v>
      </c>
      <c r="D141" s="9" t="s">
        <v>434</v>
      </c>
      <c r="E141" s="9" t="s">
        <v>446</v>
      </c>
      <c r="F141" s="9" t="s">
        <v>418</v>
      </c>
      <c r="G141" s="9" t="s">
        <v>934</v>
      </c>
      <c r="H141" s="9" t="s">
        <v>935</v>
      </c>
      <c r="I141" s="9" t="s">
        <v>421</v>
      </c>
      <c r="J141" s="9" t="s">
        <v>231</v>
      </c>
      <c r="K141" s="9" t="s">
        <v>936</v>
      </c>
      <c r="L141" s="9" t="s">
        <v>937</v>
      </c>
      <c r="M141" s="9" t="s">
        <v>424</v>
      </c>
      <c r="N141" s="9" t="s">
        <v>938</v>
      </c>
    </row>
    <row r="142" customFormat="false" ht="15" hidden="false" customHeight="true" outlineLevel="0" collapsed="false">
      <c r="A142" s="9" t="n">
        <v>138</v>
      </c>
      <c r="B142" s="9" t="s">
        <v>939</v>
      </c>
      <c r="C142" s="9" t="s">
        <v>433</v>
      </c>
      <c r="D142" s="9" t="s">
        <v>434</v>
      </c>
      <c r="E142" s="9" t="s">
        <v>435</v>
      </c>
      <c r="F142" s="9" t="s">
        <v>418</v>
      </c>
      <c r="G142" s="9" t="s">
        <v>247</v>
      </c>
      <c r="H142" s="9" t="s">
        <v>940</v>
      </c>
      <c r="I142" s="9" t="s">
        <v>421</v>
      </c>
      <c r="J142" s="9" t="s">
        <v>231</v>
      </c>
      <c r="K142" s="9" t="s">
        <v>941</v>
      </c>
      <c r="L142" s="9" t="s">
        <v>942</v>
      </c>
      <c r="M142" s="9" t="s">
        <v>424</v>
      </c>
      <c r="N142" s="9" t="s">
        <v>943</v>
      </c>
    </row>
    <row r="143" customFormat="false" ht="15" hidden="false" customHeight="true" outlineLevel="0" collapsed="false">
      <c r="A143" s="9" t="n">
        <v>139</v>
      </c>
      <c r="B143" s="9" t="s">
        <v>944</v>
      </c>
      <c r="C143" s="9" t="s">
        <v>945</v>
      </c>
      <c r="D143" s="9" t="s">
        <v>452</v>
      </c>
      <c r="E143" s="9" t="s">
        <v>456</v>
      </c>
      <c r="F143" s="9" t="s">
        <v>418</v>
      </c>
      <c r="G143" s="9" t="s">
        <v>946</v>
      </c>
      <c r="H143" s="9" t="s">
        <v>947</v>
      </c>
      <c r="I143" s="9" t="s">
        <v>421</v>
      </c>
      <c r="J143" s="9" t="s">
        <v>231</v>
      </c>
      <c r="K143" s="9" t="s">
        <v>948</v>
      </c>
      <c r="L143" s="9" t="s">
        <v>949</v>
      </c>
      <c r="M143" s="9" t="s">
        <v>522</v>
      </c>
      <c r="N143" s="9" t="s">
        <v>950</v>
      </c>
    </row>
    <row r="144" customFormat="false" ht="15" hidden="false" customHeight="true" outlineLevel="0" collapsed="false">
      <c r="A144" s="9" t="n">
        <v>140</v>
      </c>
      <c r="B144" s="9" t="s">
        <v>951</v>
      </c>
      <c r="C144" s="9" t="s">
        <v>952</v>
      </c>
      <c r="D144" s="9" t="s">
        <v>445</v>
      </c>
      <c r="E144" s="9" t="s">
        <v>876</v>
      </c>
      <c r="F144" s="9" t="s">
        <v>418</v>
      </c>
      <c r="G144" s="9" t="s">
        <v>953</v>
      </c>
      <c r="H144" s="9" t="s">
        <v>954</v>
      </c>
      <c r="I144" s="9" t="s">
        <v>421</v>
      </c>
      <c r="J144" s="9" t="s">
        <v>231</v>
      </c>
      <c r="K144" s="9" t="s">
        <v>955</v>
      </c>
      <c r="L144" s="9" t="s">
        <v>956</v>
      </c>
      <c r="M144" s="9" t="s">
        <v>424</v>
      </c>
      <c r="N144" s="9" t="s">
        <v>957</v>
      </c>
    </row>
    <row r="145" customFormat="false" ht="15" hidden="false" customHeight="true" outlineLevel="0" collapsed="false">
      <c r="A145" s="9" t="n">
        <v>141</v>
      </c>
      <c r="B145" s="9" t="s">
        <v>958</v>
      </c>
      <c r="C145" s="9" t="s">
        <v>959</v>
      </c>
      <c r="D145" s="9" t="s">
        <v>445</v>
      </c>
      <c r="E145" s="9" t="s">
        <v>846</v>
      </c>
      <c r="F145" s="9" t="s">
        <v>418</v>
      </c>
      <c r="G145" s="9" t="s">
        <v>960</v>
      </c>
      <c r="H145" s="9" t="s">
        <v>961</v>
      </c>
      <c r="I145" s="9" t="s">
        <v>421</v>
      </c>
      <c r="J145" s="9" t="s">
        <v>231</v>
      </c>
      <c r="K145" s="9" t="s">
        <v>962</v>
      </c>
      <c r="L145" s="9" t="s">
        <v>963</v>
      </c>
      <c r="M145" s="9" t="s">
        <v>424</v>
      </c>
      <c r="N145" s="9" t="s">
        <v>964</v>
      </c>
    </row>
    <row r="146" customFormat="false" ht="15" hidden="false" customHeight="true" outlineLevel="0" collapsed="false">
      <c r="A146" s="9" t="n">
        <v>142</v>
      </c>
      <c r="B146" s="9" t="s">
        <v>965</v>
      </c>
      <c r="C146" s="9" t="s">
        <v>966</v>
      </c>
      <c r="D146" s="9" t="s">
        <v>816</v>
      </c>
      <c r="E146" s="9" t="s">
        <v>817</v>
      </c>
      <c r="F146" s="9" t="s">
        <v>418</v>
      </c>
      <c r="G146" s="9" t="s">
        <v>967</v>
      </c>
      <c r="H146" s="9" t="s">
        <v>968</v>
      </c>
      <c r="I146" s="9" t="s">
        <v>421</v>
      </c>
      <c r="J146" s="9" t="s">
        <v>231</v>
      </c>
      <c r="K146" s="9" t="s">
        <v>969</v>
      </c>
      <c r="L146" s="9" t="s">
        <v>970</v>
      </c>
      <c r="M146" s="9" t="s">
        <v>424</v>
      </c>
      <c r="N146" s="9" t="s">
        <v>971</v>
      </c>
    </row>
    <row r="147" customFormat="false" ht="15" hidden="false" customHeight="true" outlineLevel="0" collapsed="false">
      <c r="A147" s="9" t="n">
        <v>143</v>
      </c>
      <c r="B147" s="9" t="s">
        <v>972</v>
      </c>
      <c r="C147" s="9" t="s">
        <v>973</v>
      </c>
      <c r="D147" s="9" t="s">
        <v>478</v>
      </c>
      <c r="E147" s="9" t="s">
        <v>974</v>
      </c>
      <c r="F147" s="9" t="s">
        <v>418</v>
      </c>
      <c r="G147" s="9" t="s">
        <v>975</v>
      </c>
      <c r="H147" s="9" t="s">
        <v>976</v>
      </c>
      <c r="I147" s="9" t="s">
        <v>421</v>
      </c>
      <c r="J147" s="9" t="s">
        <v>231</v>
      </c>
      <c r="K147" s="9" t="s">
        <v>977</v>
      </c>
      <c r="L147" s="9" t="s">
        <v>978</v>
      </c>
      <c r="M147" s="9" t="s">
        <v>424</v>
      </c>
      <c r="N147" s="9" t="s">
        <v>979</v>
      </c>
    </row>
    <row r="148" customFormat="false" ht="15" hidden="false" customHeight="true" outlineLevel="0" collapsed="false">
      <c r="A148" s="9" t="n">
        <v>144</v>
      </c>
      <c r="B148" s="9" t="s">
        <v>980</v>
      </c>
      <c r="C148" s="9" t="s">
        <v>981</v>
      </c>
      <c r="D148" s="9" t="s">
        <v>434</v>
      </c>
      <c r="E148" s="9" t="s">
        <v>974</v>
      </c>
      <c r="F148" s="9" t="s">
        <v>418</v>
      </c>
      <c r="G148" s="9" t="s">
        <v>982</v>
      </c>
      <c r="H148" s="9" t="s">
        <v>983</v>
      </c>
      <c r="I148" s="9" t="s">
        <v>421</v>
      </c>
      <c r="J148" s="9" t="s">
        <v>231</v>
      </c>
      <c r="K148" s="9" t="s">
        <v>984</v>
      </c>
      <c r="L148" s="9" t="s">
        <v>985</v>
      </c>
      <c r="M148" s="9" t="s">
        <v>424</v>
      </c>
      <c r="N148" s="9" t="s">
        <v>986</v>
      </c>
    </row>
    <row r="149" customFormat="false" ht="15" hidden="false" customHeight="true" outlineLevel="0" collapsed="false">
      <c r="A149" s="9" t="n">
        <v>145</v>
      </c>
      <c r="B149" s="9" t="s">
        <v>987</v>
      </c>
      <c r="C149" s="9" t="s">
        <v>988</v>
      </c>
      <c r="D149" s="9" t="s">
        <v>816</v>
      </c>
      <c r="E149" s="9" t="s">
        <v>861</v>
      </c>
      <c r="F149" s="9" t="s">
        <v>418</v>
      </c>
      <c r="G149" s="9" t="s">
        <v>989</v>
      </c>
      <c r="H149" s="9" t="s">
        <v>990</v>
      </c>
      <c r="I149" s="9" t="s">
        <v>421</v>
      </c>
      <c r="J149" s="9" t="s">
        <v>231</v>
      </c>
      <c r="K149" s="9" t="s">
        <v>991</v>
      </c>
      <c r="L149" s="9" t="s">
        <v>992</v>
      </c>
      <c r="M149" s="9" t="s">
        <v>424</v>
      </c>
      <c r="N149" s="9" t="s">
        <v>993</v>
      </c>
    </row>
    <row r="150" customFormat="false" ht="15" hidden="false" customHeight="true" outlineLevel="0" collapsed="false">
      <c r="A150" s="9" t="n">
        <v>146</v>
      </c>
      <c r="B150" s="9" t="s">
        <v>994</v>
      </c>
      <c r="C150" s="9" t="s">
        <v>995</v>
      </c>
      <c r="D150" s="9" t="s">
        <v>434</v>
      </c>
      <c r="E150" s="9" t="s">
        <v>456</v>
      </c>
      <c r="F150" s="9" t="s">
        <v>418</v>
      </c>
      <c r="G150" s="9" t="s">
        <v>996</v>
      </c>
      <c r="H150" s="9" t="s">
        <v>997</v>
      </c>
      <c r="I150" s="9" t="s">
        <v>421</v>
      </c>
      <c r="J150" s="9" t="s">
        <v>231</v>
      </c>
      <c r="K150" s="9" t="s">
        <v>998</v>
      </c>
      <c r="L150" s="9" t="s">
        <v>999</v>
      </c>
      <c r="M150" s="9" t="s">
        <v>424</v>
      </c>
      <c r="N150" s="9" t="s">
        <v>1000</v>
      </c>
    </row>
    <row r="151" customFormat="false" ht="15" hidden="false" customHeight="true" outlineLevel="0" collapsed="false">
      <c r="A151" s="9" t="n">
        <v>147</v>
      </c>
      <c r="B151" s="9" t="s">
        <v>1001</v>
      </c>
      <c r="C151" s="9" t="s">
        <v>1002</v>
      </c>
      <c r="D151" s="9" t="s">
        <v>816</v>
      </c>
      <c r="E151" s="9" t="s">
        <v>846</v>
      </c>
      <c r="F151" s="9" t="s">
        <v>418</v>
      </c>
      <c r="G151" s="9" t="s">
        <v>1003</v>
      </c>
      <c r="H151" s="9" t="s">
        <v>1004</v>
      </c>
      <c r="I151" s="9" t="s">
        <v>421</v>
      </c>
      <c r="J151" s="9" t="s">
        <v>231</v>
      </c>
      <c r="K151" s="9" t="s">
        <v>1005</v>
      </c>
      <c r="L151" s="9" t="s">
        <v>1006</v>
      </c>
      <c r="M151" s="9" t="s">
        <v>424</v>
      </c>
      <c r="N151" s="9" t="s">
        <v>1007</v>
      </c>
    </row>
    <row r="152" customFormat="false" ht="15" hidden="false" customHeight="true" outlineLevel="0" collapsed="false">
      <c r="A152" s="9" t="n">
        <v>148</v>
      </c>
      <c r="B152" s="9" t="s">
        <v>1008</v>
      </c>
      <c r="C152" s="9" t="s">
        <v>1009</v>
      </c>
      <c r="D152" s="9" t="s">
        <v>434</v>
      </c>
      <c r="E152" s="9" t="s">
        <v>876</v>
      </c>
      <c r="F152" s="9" t="s">
        <v>418</v>
      </c>
      <c r="G152" s="9" t="s">
        <v>1010</v>
      </c>
      <c r="H152" s="9" t="s">
        <v>1011</v>
      </c>
      <c r="I152" s="9" t="s">
        <v>421</v>
      </c>
      <c r="J152" s="9" t="s">
        <v>231</v>
      </c>
      <c r="K152" s="9" t="s">
        <v>1012</v>
      </c>
      <c r="L152" s="9" t="s">
        <v>1013</v>
      </c>
      <c r="M152" s="9" t="s">
        <v>424</v>
      </c>
      <c r="N152" s="9" t="s">
        <v>1014</v>
      </c>
    </row>
    <row r="153" customFormat="false" ht="15" hidden="false" customHeight="true" outlineLevel="0" collapsed="false">
      <c r="A153" s="9" t="n">
        <v>149</v>
      </c>
      <c r="B153" s="9" t="s">
        <v>1015</v>
      </c>
      <c r="C153" s="9" t="s">
        <v>1016</v>
      </c>
      <c r="D153" s="9" t="s">
        <v>816</v>
      </c>
      <c r="E153" s="9" t="s">
        <v>817</v>
      </c>
      <c r="F153" s="9" t="s">
        <v>418</v>
      </c>
      <c r="G153" s="9" t="s">
        <v>1017</v>
      </c>
      <c r="H153" s="9" t="s">
        <v>1018</v>
      </c>
      <c r="I153" s="9" t="s">
        <v>421</v>
      </c>
      <c r="J153" s="9" t="s">
        <v>231</v>
      </c>
      <c r="K153" s="9" t="s">
        <v>1019</v>
      </c>
      <c r="L153" s="9" t="s">
        <v>1020</v>
      </c>
      <c r="M153" s="9" t="s">
        <v>424</v>
      </c>
      <c r="N153" s="9" t="s">
        <v>1021</v>
      </c>
    </row>
    <row r="154" customFormat="false" ht="15" hidden="false" customHeight="true" outlineLevel="0" collapsed="false">
      <c r="A154" s="9" t="n">
        <v>150</v>
      </c>
      <c r="B154" s="9" t="s">
        <v>1022</v>
      </c>
      <c r="C154" s="9" t="s">
        <v>1023</v>
      </c>
      <c r="D154" s="9" t="s">
        <v>434</v>
      </c>
      <c r="E154" s="9" t="s">
        <v>876</v>
      </c>
      <c r="F154" s="9" t="s">
        <v>418</v>
      </c>
      <c r="G154" s="9" t="s">
        <v>1024</v>
      </c>
      <c r="H154" s="9" t="s">
        <v>1025</v>
      </c>
      <c r="I154" s="9" t="s">
        <v>421</v>
      </c>
      <c r="J154" s="9" t="s">
        <v>231</v>
      </c>
      <c r="K154" s="9" t="s">
        <v>1026</v>
      </c>
      <c r="L154" s="9" t="s">
        <v>1027</v>
      </c>
      <c r="M154" s="9" t="s">
        <v>424</v>
      </c>
      <c r="N154" s="9" t="s">
        <v>1028</v>
      </c>
    </row>
    <row r="155" customFormat="false" ht="15" hidden="false" customHeight="true" outlineLevel="0" collapsed="false">
      <c r="A155" s="9" t="n">
        <v>151</v>
      </c>
      <c r="B155" s="9" t="s">
        <v>1029</v>
      </c>
      <c r="C155" s="9" t="s">
        <v>1030</v>
      </c>
      <c r="D155" s="9" t="s">
        <v>478</v>
      </c>
      <c r="E155" s="9" t="s">
        <v>446</v>
      </c>
      <c r="F155" s="9" t="s">
        <v>418</v>
      </c>
      <c r="G155" s="9" t="s">
        <v>1031</v>
      </c>
      <c r="H155" s="9" t="s">
        <v>1032</v>
      </c>
      <c r="I155" s="9" t="s">
        <v>421</v>
      </c>
      <c r="J155" s="9" t="s">
        <v>231</v>
      </c>
      <c r="K155" s="9" t="s">
        <v>1033</v>
      </c>
      <c r="L155" s="9" t="s">
        <v>1034</v>
      </c>
      <c r="M155" s="9" t="s">
        <v>424</v>
      </c>
      <c r="N155" s="9" t="s">
        <v>1035</v>
      </c>
    </row>
    <row r="156" customFormat="false" ht="15" hidden="false" customHeight="true" outlineLevel="0" collapsed="false">
      <c r="A156" s="9" t="n">
        <v>152</v>
      </c>
      <c r="B156" s="9" t="s">
        <v>1036</v>
      </c>
      <c r="C156" s="9" t="s">
        <v>1037</v>
      </c>
      <c r="D156" s="9" t="s">
        <v>434</v>
      </c>
      <c r="E156" s="9" t="s">
        <v>485</v>
      </c>
      <c r="F156" s="9" t="s">
        <v>418</v>
      </c>
      <c r="G156" s="9" t="s">
        <v>1038</v>
      </c>
      <c r="H156" s="9" t="s">
        <v>1039</v>
      </c>
      <c r="I156" s="9" t="s">
        <v>421</v>
      </c>
      <c r="J156" s="9" t="s">
        <v>231</v>
      </c>
      <c r="K156" s="9" t="s">
        <v>1040</v>
      </c>
      <c r="L156" s="9" t="s">
        <v>1041</v>
      </c>
      <c r="M156" s="9" t="s">
        <v>424</v>
      </c>
      <c r="N156" s="9" t="s">
        <v>1042</v>
      </c>
    </row>
    <row r="157" customFormat="false" ht="15" hidden="false" customHeight="true" outlineLevel="0" collapsed="false">
      <c r="A157" s="9" t="n">
        <v>153</v>
      </c>
      <c r="B157" s="9" t="s">
        <v>1043</v>
      </c>
      <c r="C157" s="9" t="s">
        <v>1044</v>
      </c>
      <c r="D157" s="9" t="s">
        <v>434</v>
      </c>
      <c r="E157" s="9" t="s">
        <v>428</v>
      </c>
      <c r="F157" s="9" t="s">
        <v>418</v>
      </c>
      <c r="G157" s="9" t="s">
        <v>1045</v>
      </c>
      <c r="H157" s="9" t="s">
        <v>1046</v>
      </c>
      <c r="I157" s="9" t="s">
        <v>421</v>
      </c>
      <c r="J157" s="9" t="s">
        <v>231</v>
      </c>
      <c r="K157" s="9" t="s">
        <v>1047</v>
      </c>
      <c r="L157" s="9" t="s">
        <v>1048</v>
      </c>
      <c r="M157" s="9" t="s">
        <v>424</v>
      </c>
      <c r="N157" s="9" t="s">
        <v>1049</v>
      </c>
    </row>
    <row r="158" customFormat="false" ht="15" hidden="false" customHeight="true" outlineLevel="0" collapsed="false">
      <c r="A158" s="9" t="n">
        <v>154</v>
      </c>
      <c r="B158" s="9" t="s">
        <v>1050</v>
      </c>
      <c r="C158" s="9" t="s">
        <v>1051</v>
      </c>
      <c r="D158" s="9" t="s">
        <v>478</v>
      </c>
      <c r="E158" s="9" t="s">
        <v>884</v>
      </c>
      <c r="F158" s="9" t="s">
        <v>418</v>
      </c>
      <c r="G158" s="9" t="s">
        <v>1052</v>
      </c>
      <c r="H158" s="9" t="s">
        <v>1053</v>
      </c>
      <c r="I158" s="9" t="s">
        <v>421</v>
      </c>
      <c r="J158" s="9" t="s">
        <v>231</v>
      </c>
      <c r="K158" s="9" t="s">
        <v>1054</v>
      </c>
      <c r="L158" s="9" t="s">
        <v>1055</v>
      </c>
      <c r="M158" s="9" t="s">
        <v>424</v>
      </c>
      <c r="N158" s="9" t="s">
        <v>1056</v>
      </c>
    </row>
    <row r="159" customFormat="false" ht="15" hidden="false" customHeight="true" outlineLevel="0" collapsed="false">
      <c r="A159" s="9" t="n">
        <v>155</v>
      </c>
      <c r="B159" s="9" t="s">
        <v>1057</v>
      </c>
      <c r="C159" s="9" t="s">
        <v>1058</v>
      </c>
      <c r="D159" s="9" t="s">
        <v>445</v>
      </c>
      <c r="E159" s="9" t="s">
        <v>974</v>
      </c>
      <c r="F159" s="9" t="s">
        <v>418</v>
      </c>
      <c r="G159" s="9" t="s">
        <v>1059</v>
      </c>
      <c r="H159" s="9" t="s">
        <v>1060</v>
      </c>
      <c r="I159" s="9" t="s">
        <v>421</v>
      </c>
      <c r="J159" s="9" t="s">
        <v>231</v>
      </c>
      <c r="K159" s="9" t="s">
        <v>1061</v>
      </c>
      <c r="L159" s="9" t="s">
        <v>1062</v>
      </c>
      <c r="M159" s="9" t="s">
        <v>424</v>
      </c>
      <c r="N159" s="9" t="s">
        <v>1063</v>
      </c>
    </row>
    <row r="160" customFormat="false" ht="15" hidden="false" customHeight="true" outlineLevel="0" collapsed="false">
      <c r="A160" s="9" t="n">
        <v>156</v>
      </c>
      <c r="B160" s="9" t="s">
        <v>1064</v>
      </c>
      <c r="C160" s="9" t="s">
        <v>1065</v>
      </c>
      <c r="D160" s="9" t="s">
        <v>434</v>
      </c>
      <c r="E160" s="9" t="s">
        <v>456</v>
      </c>
      <c r="F160" s="9" t="s">
        <v>418</v>
      </c>
      <c r="G160" s="9" t="s">
        <v>1066</v>
      </c>
      <c r="H160" s="9" t="s">
        <v>1067</v>
      </c>
      <c r="I160" s="9" t="s">
        <v>421</v>
      </c>
      <c r="J160" s="9" t="s">
        <v>231</v>
      </c>
      <c r="K160" s="9" t="s">
        <v>1068</v>
      </c>
      <c r="L160" s="9" t="s">
        <v>1069</v>
      </c>
      <c r="M160" s="9" t="s">
        <v>424</v>
      </c>
      <c r="N160" s="9" t="s">
        <v>1070</v>
      </c>
    </row>
    <row r="161" customFormat="false" ht="15" hidden="false" customHeight="true" outlineLevel="0" collapsed="false">
      <c r="A161" s="9" t="n">
        <v>157</v>
      </c>
      <c r="B161" s="9" t="s">
        <v>1071</v>
      </c>
      <c r="C161" s="9" t="s">
        <v>1072</v>
      </c>
      <c r="D161" s="9" t="s">
        <v>434</v>
      </c>
      <c r="E161" s="9" t="s">
        <v>876</v>
      </c>
      <c r="F161" s="9" t="s">
        <v>418</v>
      </c>
      <c r="G161" s="9" t="s">
        <v>1073</v>
      </c>
      <c r="H161" s="9" t="s">
        <v>1074</v>
      </c>
      <c r="I161" s="9" t="s">
        <v>421</v>
      </c>
      <c r="J161" s="9" t="s">
        <v>231</v>
      </c>
      <c r="K161" s="9" t="s">
        <v>1075</v>
      </c>
      <c r="L161" s="9" t="s">
        <v>1076</v>
      </c>
      <c r="M161" s="9" t="s">
        <v>424</v>
      </c>
      <c r="N161" s="9" t="s">
        <v>1077</v>
      </c>
    </row>
    <row r="162" customFormat="false" ht="15" hidden="false" customHeight="true" outlineLevel="0" collapsed="false">
      <c r="A162" s="9" t="n">
        <v>158</v>
      </c>
      <c r="B162" s="9" t="s">
        <v>1078</v>
      </c>
      <c r="C162" s="9" t="s">
        <v>1079</v>
      </c>
      <c r="D162" s="9" t="s">
        <v>440</v>
      </c>
      <c r="E162" s="9" t="s">
        <v>428</v>
      </c>
      <c r="F162" s="9" t="s">
        <v>418</v>
      </c>
      <c r="G162" s="9" t="s">
        <v>1080</v>
      </c>
      <c r="H162" s="9" t="s">
        <v>1081</v>
      </c>
      <c r="I162" s="9" t="s">
        <v>421</v>
      </c>
      <c r="J162" s="9" t="s">
        <v>231</v>
      </c>
      <c r="K162" s="9" t="s">
        <v>1082</v>
      </c>
      <c r="L162" s="9" t="s">
        <v>1083</v>
      </c>
      <c r="M162" s="9" t="s">
        <v>424</v>
      </c>
      <c r="N162" s="9" t="s">
        <v>1084</v>
      </c>
    </row>
    <row r="163" customFormat="false" ht="15" hidden="false" customHeight="true" outlineLevel="0" collapsed="false">
      <c r="A163" s="9" t="n">
        <v>159</v>
      </c>
      <c r="B163" s="9" t="s">
        <v>229</v>
      </c>
      <c r="C163" s="9" t="s">
        <v>1085</v>
      </c>
      <c r="D163" s="9" t="s">
        <v>440</v>
      </c>
      <c r="E163" s="9" t="s">
        <v>435</v>
      </c>
      <c r="F163" s="9" t="s">
        <v>418</v>
      </c>
      <c r="G163" s="9" t="s">
        <v>230</v>
      </c>
      <c r="H163" s="9" t="s">
        <v>420</v>
      </c>
      <c r="I163" s="9" t="s">
        <v>421</v>
      </c>
      <c r="J163" s="9" t="s">
        <v>231</v>
      </c>
      <c r="K163" s="9" t="s">
        <v>1086</v>
      </c>
      <c r="L163" s="9" t="s">
        <v>1087</v>
      </c>
      <c r="M163" s="9" t="s">
        <v>424</v>
      </c>
      <c r="N163" s="9" t="s">
        <v>1088</v>
      </c>
    </row>
    <row r="164" customFormat="false" ht="15" hidden="false" customHeight="true" outlineLevel="0" collapsed="false">
      <c r="A164" s="9" t="n">
        <v>160</v>
      </c>
      <c r="B164" s="9" t="s">
        <v>1089</v>
      </c>
      <c r="C164" s="9" t="s">
        <v>1090</v>
      </c>
      <c r="D164" s="9" t="s">
        <v>452</v>
      </c>
      <c r="E164" s="9" t="s">
        <v>500</v>
      </c>
      <c r="F164" s="9" t="s">
        <v>418</v>
      </c>
      <c r="G164" s="9" t="s">
        <v>1091</v>
      </c>
      <c r="H164" s="9" t="s">
        <v>1092</v>
      </c>
      <c r="I164" s="9" t="s">
        <v>421</v>
      </c>
      <c r="J164" s="9" t="s">
        <v>231</v>
      </c>
      <c r="K164" s="9" t="s">
        <v>1093</v>
      </c>
      <c r="L164" s="9" t="s">
        <v>1094</v>
      </c>
      <c r="M164" s="9" t="s">
        <v>424</v>
      </c>
      <c r="N164" s="9" t="s">
        <v>1095</v>
      </c>
    </row>
    <row r="165" customFormat="false" ht="15" hidden="false" customHeight="true" outlineLevel="0" collapsed="false">
      <c r="A165" s="9" t="n">
        <v>161</v>
      </c>
      <c r="B165" s="9" t="s">
        <v>1096</v>
      </c>
      <c r="C165" s="9" t="s">
        <v>1097</v>
      </c>
      <c r="D165" s="9" t="s">
        <v>452</v>
      </c>
      <c r="E165" s="9" t="s">
        <v>435</v>
      </c>
      <c r="F165" s="9" t="s">
        <v>418</v>
      </c>
      <c r="G165" s="9" t="s">
        <v>1098</v>
      </c>
      <c r="H165" s="9" t="s">
        <v>1099</v>
      </c>
      <c r="I165" s="9" t="s">
        <v>421</v>
      </c>
      <c r="J165" s="9" t="s">
        <v>231</v>
      </c>
      <c r="K165" s="9" t="s">
        <v>1100</v>
      </c>
      <c r="L165" s="9" t="s">
        <v>1101</v>
      </c>
      <c r="M165" s="9" t="s">
        <v>424</v>
      </c>
      <c r="N165" s="9" t="s">
        <v>1102</v>
      </c>
    </row>
    <row r="166" customFormat="false" ht="15" hidden="false" customHeight="true" outlineLevel="0" collapsed="false">
      <c r="A166" s="9" t="n">
        <v>162</v>
      </c>
      <c r="B166" s="9" t="s">
        <v>1103</v>
      </c>
      <c r="C166" s="9" t="s">
        <v>1104</v>
      </c>
      <c r="D166" s="9" t="s">
        <v>434</v>
      </c>
      <c r="E166" s="9" t="s">
        <v>500</v>
      </c>
      <c r="F166" s="9" t="s">
        <v>418</v>
      </c>
      <c r="G166" s="9" t="s">
        <v>1105</v>
      </c>
      <c r="H166" s="9" t="s">
        <v>1106</v>
      </c>
      <c r="I166" s="9" t="s">
        <v>421</v>
      </c>
      <c r="J166" s="9" t="s">
        <v>231</v>
      </c>
      <c r="K166" s="9" t="s">
        <v>1107</v>
      </c>
      <c r="L166" s="9" t="s">
        <v>1108</v>
      </c>
      <c r="M166" s="9" t="s">
        <v>424</v>
      </c>
      <c r="N166" s="9" t="s">
        <v>1109</v>
      </c>
    </row>
    <row r="167" customFormat="false" ht="15" hidden="false" customHeight="true" outlineLevel="0" collapsed="false">
      <c r="A167" s="9" t="n">
        <v>163</v>
      </c>
      <c r="B167" s="9" t="s">
        <v>16</v>
      </c>
      <c r="C167" s="9" t="s">
        <v>1110</v>
      </c>
      <c r="D167" s="9" t="s">
        <v>434</v>
      </c>
      <c r="E167" s="9" t="s">
        <v>485</v>
      </c>
      <c r="F167" s="9" t="s">
        <v>418</v>
      </c>
      <c r="G167" s="9" t="s">
        <v>512</v>
      </c>
      <c r="H167" s="9" t="s">
        <v>1111</v>
      </c>
      <c r="I167" s="9" t="s">
        <v>421</v>
      </c>
      <c r="J167" s="9" t="s">
        <v>231</v>
      </c>
      <c r="K167" s="9" t="s">
        <v>1112</v>
      </c>
      <c r="L167" s="9" t="s">
        <v>1113</v>
      </c>
      <c r="M167" s="9" t="s">
        <v>424</v>
      </c>
      <c r="N167" s="9" t="s">
        <v>1114</v>
      </c>
    </row>
    <row r="168" customFormat="false" ht="15" hidden="false" customHeight="true" outlineLevel="0" collapsed="false">
      <c r="A168" s="9" t="n">
        <v>164</v>
      </c>
      <c r="B168" s="9" t="s">
        <v>1115</v>
      </c>
      <c r="C168" s="9" t="s">
        <v>1116</v>
      </c>
      <c r="D168" s="9" t="s">
        <v>478</v>
      </c>
      <c r="E168" s="9" t="s">
        <v>446</v>
      </c>
      <c r="F168" s="9" t="s">
        <v>418</v>
      </c>
      <c r="G168" s="9" t="s">
        <v>1117</v>
      </c>
      <c r="H168" s="9" t="s">
        <v>1118</v>
      </c>
      <c r="I168" s="9" t="s">
        <v>421</v>
      </c>
      <c r="J168" s="9" t="s">
        <v>231</v>
      </c>
      <c r="K168" s="9" t="s">
        <v>1119</v>
      </c>
      <c r="L168" s="9" t="s">
        <v>1120</v>
      </c>
      <c r="M168" s="9" t="s">
        <v>424</v>
      </c>
      <c r="N168" s="9" t="s">
        <v>843</v>
      </c>
    </row>
    <row r="169" customFormat="false" ht="15" hidden="false" customHeight="true" outlineLevel="0" collapsed="false">
      <c r="A169" s="9" t="n">
        <v>165</v>
      </c>
      <c r="B169" s="9" t="s">
        <v>1121</v>
      </c>
      <c r="C169" s="9" t="s">
        <v>1122</v>
      </c>
      <c r="D169" s="9" t="s">
        <v>816</v>
      </c>
      <c r="E169" s="9" t="s">
        <v>435</v>
      </c>
      <c r="F169" s="9" t="s">
        <v>418</v>
      </c>
      <c r="G169" s="9" t="s">
        <v>1123</v>
      </c>
      <c r="H169" s="9" t="s">
        <v>1124</v>
      </c>
      <c r="I169" s="9" t="s">
        <v>421</v>
      </c>
      <c r="J169" s="9" t="s">
        <v>231</v>
      </c>
      <c r="K169" s="9" t="s">
        <v>1125</v>
      </c>
      <c r="L169" s="9" t="s">
        <v>1126</v>
      </c>
      <c r="M169" s="9" t="s">
        <v>424</v>
      </c>
      <c r="N169" s="9" t="s">
        <v>1127</v>
      </c>
    </row>
    <row r="170" customFormat="false" ht="15" hidden="false" customHeight="true" outlineLevel="0" collapsed="false">
      <c r="A170" s="9" t="n">
        <v>166</v>
      </c>
      <c r="B170" s="9" t="s">
        <v>1128</v>
      </c>
      <c r="C170" s="9" t="s">
        <v>1129</v>
      </c>
      <c r="D170" s="9" t="s">
        <v>478</v>
      </c>
      <c r="E170" s="9" t="s">
        <v>1130</v>
      </c>
      <c r="F170" s="9" t="s">
        <v>418</v>
      </c>
      <c r="G170" s="9" t="s">
        <v>1131</v>
      </c>
      <c r="H170" s="9" t="s">
        <v>1132</v>
      </c>
      <c r="I170" s="9" t="s">
        <v>421</v>
      </c>
      <c r="J170" s="9" t="s">
        <v>231</v>
      </c>
      <c r="K170" s="9" t="s">
        <v>1133</v>
      </c>
      <c r="L170" s="9" t="s">
        <v>1134</v>
      </c>
      <c r="M170" s="9" t="s">
        <v>424</v>
      </c>
      <c r="N170" s="9" t="s">
        <v>1135</v>
      </c>
    </row>
    <row r="171" customFormat="false" ht="15" hidden="false" customHeight="true" outlineLevel="0" collapsed="false">
      <c r="A171" s="9" t="n">
        <v>167</v>
      </c>
      <c r="B171" s="9" t="s">
        <v>1136</v>
      </c>
      <c r="C171" s="9" t="s">
        <v>1137</v>
      </c>
      <c r="D171" s="9" t="s">
        <v>816</v>
      </c>
      <c r="E171" s="9" t="s">
        <v>817</v>
      </c>
      <c r="F171" s="9" t="s">
        <v>418</v>
      </c>
      <c r="G171" s="9" t="s">
        <v>1138</v>
      </c>
      <c r="H171" s="9" t="s">
        <v>1139</v>
      </c>
      <c r="I171" s="9" t="s">
        <v>421</v>
      </c>
      <c r="J171" s="9" t="s">
        <v>231</v>
      </c>
      <c r="K171" s="9" t="s">
        <v>1140</v>
      </c>
      <c r="L171" s="9" t="s">
        <v>1141</v>
      </c>
      <c r="M171" s="9" t="s">
        <v>424</v>
      </c>
      <c r="N171" s="9" t="s">
        <v>1142</v>
      </c>
    </row>
    <row r="172" customFormat="false" ht="15" hidden="false" customHeight="true" outlineLevel="0" collapsed="false">
      <c r="A172" s="9" t="n">
        <v>168</v>
      </c>
      <c r="B172" s="9" t="s">
        <v>1143</v>
      </c>
      <c r="C172" s="9" t="s">
        <v>1144</v>
      </c>
      <c r="D172" s="9" t="s">
        <v>427</v>
      </c>
      <c r="E172" s="9" t="s">
        <v>817</v>
      </c>
      <c r="F172" s="9" t="s">
        <v>418</v>
      </c>
      <c r="G172" s="9" t="s">
        <v>1145</v>
      </c>
      <c r="H172" s="9" t="s">
        <v>1146</v>
      </c>
      <c r="I172" s="9" t="s">
        <v>421</v>
      </c>
      <c r="J172" s="9" t="s">
        <v>231</v>
      </c>
      <c r="K172" s="9" t="s">
        <v>1147</v>
      </c>
      <c r="L172" s="9" t="s">
        <v>1148</v>
      </c>
      <c r="M172" s="9" t="s">
        <v>424</v>
      </c>
      <c r="N172" s="9" t="s">
        <v>1149</v>
      </c>
    </row>
    <row r="173" customFormat="false" ht="15" hidden="false" customHeight="true" outlineLevel="0" collapsed="false">
      <c r="A173" s="9" t="n">
        <v>169</v>
      </c>
      <c r="B173" s="9" t="s">
        <v>1150</v>
      </c>
      <c r="C173" s="9" t="s">
        <v>1151</v>
      </c>
      <c r="D173" s="9" t="s">
        <v>427</v>
      </c>
      <c r="E173" s="9" t="s">
        <v>846</v>
      </c>
      <c r="F173" s="9" t="s">
        <v>418</v>
      </c>
      <c r="G173" s="9" t="s">
        <v>1152</v>
      </c>
      <c r="H173" s="9" t="s">
        <v>1153</v>
      </c>
      <c r="I173" s="9" t="s">
        <v>421</v>
      </c>
      <c r="J173" s="9" t="s">
        <v>231</v>
      </c>
      <c r="K173" s="9" t="s">
        <v>1154</v>
      </c>
      <c r="L173" s="9" t="s">
        <v>1155</v>
      </c>
      <c r="M173" s="9" t="s">
        <v>424</v>
      </c>
      <c r="N173" s="9" t="s">
        <v>1156</v>
      </c>
    </row>
    <row r="174" customFormat="false" ht="15" hidden="false" customHeight="true" outlineLevel="0" collapsed="false">
      <c r="A174" s="9" t="n">
        <v>170</v>
      </c>
      <c r="B174" s="9" t="s">
        <v>1157</v>
      </c>
      <c r="C174" s="9" t="s">
        <v>1158</v>
      </c>
      <c r="D174" s="9" t="s">
        <v>440</v>
      </c>
      <c r="E174" s="9" t="s">
        <v>456</v>
      </c>
      <c r="F174" s="9" t="s">
        <v>418</v>
      </c>
      <c r="G174" s="9" t="s">
        <v>1159</v>
      </c>
      <c r="H174" s="9" t="s">
        <v>1160</v>
      </c>
      <c r="I174" s="9" t="s">
        <v>421</v>
      </c>
      <c r="J174" s="9" t="s">
        <v>231</v>
      </c>
      <c r="K174" s="9" t="s">
        <v>1161</v>
      </c>
      <c r="L174" s="9" t="s">
        <v>1162</v>
      </c>
      <c r="M174" s="9" t="s">
        <v>424</v>
      </c>
      <c r="N174" s="9" t="s">
        <v>1163</v>
      </c>
    </row>
    <row r="175" customFormat="false" ht="15" hidden="false" customHeight="true" outlineLevel="0" collapsed="false">
      <c r="A175" s="9" t="n">
        <v>171</v>
      </c>
      <c r="B175" s="9" t="s">
        <v>465</v>
      </c>
      <c r="C175" s="9" t="s">
        <v>1164</v>
      </c>
      <c r="D175" s="9" t="s">
        <v>478</v>
      </c>
      <c r="E175" s="9" t="s">
        <v>500</v>
      </c>
      <c r="F175" s="9" t="s">
        <v>418</v>
      </c>
      <c r="G175" s="9" t="s">
        <v>1165</v>
      </c>
      <c r="H175" s="9" t="s">
        <v>1166</v>
      </c>
      <c r="I175" s="9" t="s">
        <v>421</v>
      </c>
      <c r="J175" s="9" t="s">
        <v>231</v>
      </c>
      <c r="K175" s="9" t="s">
        <v>1167</v>
      </c>
      <c r="L175" s="9" t="s">
        <v>1168</v>
      </c>
      <c r="M175" s="9" t="s">
        <v>424</v>
      </c>
      <c r="N175" s="9" t="s">
        <v>1169</v>
      </c>
    </row>
    <row r="176" customFormat="false" ht="15" hidden="false" customHeight="true" outlineLevel="0" collapsed="false">
      <c r="A176" s="9" t="n">
        <v>172</v>
      </c>
      <c r="B176" s="9" t="s">
        <v>1170</v>
      </c>
      <c r="C176" s="9" t="s">
        <v>1171</v>
      </c>
      <c r="D176" s="9" t="s">
        <v>440</v>
      </c>
      <c r="E176" s="9" t="s">
        <v>485</v>
      </c>
      <c r="F176" s="9" t="s">
        <v>418</v>
      </c>
      <c r="G176" s="9" t="s">
        <v>1172</v>
      </c>
      <c r="H176" s="9" t="s">
        <v>1173</v>
      </c>
      <c r="I176" s="9" t="s">
        <v>421</v>
      </c>
      <c r="J176" s="9" t="s">
        <v>231</v>
      </c>
      <c r="K176" s="9" t="s">
        <v>1174</v>
      </c>
      <c r="L176" s="9" t="s">
        <v>1175</v>
      </c>
      <c r="M176" s="9" t="s">
        <v>424</v>
      </c>
      <c r="N176" s="9" t="s">
        <v>1176</v>
      </c>
    </row>
    <row r="177" customFormat="false" ht="15" hidden="false" customHeight="true" outlineLevel="0" collapsed="false">
      <c r="A177" s="9" t="n">
        <v>173</v>
      </c>
      <c r="B177" s="9" t="s">
        <v>1177</v>
      </c>
      <c r="C177" s="9" t="s">
        <v>1178</v>
      </c>
      <c r="D177" s="9" t="s">
        <v>440</v>
      </c>
      <c r="E177" s="9" t="s">
        <v>500</v>
      </c>
      <c r="F177" s="9" t="s">
        <v>418</v>
      </c>
      <c r="G177" s="9" t="s">
        <v>1179</v>
      </c>
      <c r="H177" s="9" t="s">
        <v>1180</v>
      </c>
      <c r="I177" s="9" t="s">
        <v>421</v>
      </c>
      <c r="J177" s="9" t="s">
        <v>231</v>
      </c>
      <c r="K177" s="9" t="s">
        <v>834</v>
      </c>
      <c r="L177" s="9" t="s">
        <v>1181</v>
      </c>
      <c r="M177" s="9" t="s">
        <v>424</v>
      </c>
      <c r="N177" s="9" t="s">
        <v>1182</v>
      </c>
    </row>
    <row r="178" customFormat="false" ht="15" hidden="false" customHeight="true" outlineLevel="0" collapsed="false">
      <c r="A178" s="9" t="n">
        <v>174</v>
      </c>
      <c r="B178" s="9" t="s">
        <v>1183</v>
      </c>
      <c r="C178" s="9" t="s">
        <v>1184</v>
      </c>
      <c r="D178" s="9" t="s">
        <v>445</v>
      </c>
      <c r="E178" s="9" t="s">
        <v>435</v>
      </c>
      <c r="F178" s="9" t="s">
        <v>418</v>
      </c>
      <c r="G178" s="9" t="s">
        <v>1185</v>
      </c>
      <c r="H178" s="9" t="s">
        <v>1186</v>
      </c>
      <c r="I178" s="9" t="s">
        <v>421</v>
      </c>
      <c r="J178" s="9" t="s">
        <v>231</v>
      </c>
      <c r="K178" s="9" t="s">
        <v>1187</v>
      </c>
      <c r="L178" s="9" t="s">
        <v>1188</v>
      </c>
      <c r="M178" s="9" t="s">
        <v>424</v>
      </c>
      <c r="N178" s="9" t="s">
        <v>1189</v>
      </c>
    </row>
    <row r="179" customFormat="false" ht="15" hidden="false" customHeight="true" outlineLevel="0" collapsed="false">
      <c r="A179" s="9" t="n">
        <v>175</v>
      </c>
      <c r="B179" s="9" t="s">
        <v>1190</v>
      </c>
      <c r="C179" s="9" t="s">
        <v>1191</v>
      </c>
      <c r="D179" s="9" t="s">
        <v>478</v>
      </c>
      <c r="E179" s="9" t="s">
        <v>876</v>
      </c>
      <c r="F179" s="9" t="s">
        <v>418</v>
      </c>
      <c r="G179" s="9" t="s">
        <v>1192</v>
      </c>
      <c r="H179" s="9" t="s">
        <v>1193</v>
      </c>
      <c r="I179" s="9" t="s">
        <v>421</v>
      </c>
      <c r="J179" s="9" t="s">
        <v>231</v>
      </c>
      <c r="K179" s="9" t="s">
        <v>1194</v>
      </c>
      <c r="L179" s="9" t="s">
        <v>1195</v>
      </c>
      <c r="M179" s="9" t="s">
        <v>424</v>
      </c>
      <c r="N179" s="9" t="s">
        <v>1196</v>
      </c>
    </row>
    <row r="180" customFormat="false" ht="15" hidden="false" customHeight="true" outlineLevel="0" collapsed="false">
      <c r="A180" s="9" t="n">
        <v>176</v>
      </c>
      <c r="B180" s="9" t="s">
        <v>1197</v>
      </c>
      <c r="C180" s="9" t="s">
        <v>1198</v>
      </c>
      <c r="D180" s="9" t="s">
        <v>478</v>
      </c>
      <c r="E180" s="9" t="s">
        <v>846</v>
      </c>
      <c r="F180" s="9" t="s">
        <v>418</v>
      </c>
      <c r="G180" s="9" t="s">
        <v>1199</v>
      </c>
      <c r="H180" s="9" t="s">
        <v>1200</v>
      </c>
      <c r="I180" s="9" t="s">
        <v>421</v>
      </c>
      <c r="J180" s="9" t="s">
        <v>231</v>
      </c>
      <c r="K180" s="9" t="s">
        <v>1201</v>
      </c>
      <c r="L180" s="9" t="s">
        <v>1202</v>
      </c>
      <c r="M180" s="9" t="s">
        <v>424</v>
      </c>
      <c r="N180" s="9" t="s">
        <v>1203</v>
      </c>
    </row>
    <row r="181" customFormat="false" ht="15" hidden="false" customHeight="true" outlineLevel="0" collapsed="false">
      <c r="A181" s="9" t="n">
        <v>177</v>
      </c>
      <c r="B181" s="9" t="s">
        <v>1204</v>
      </c>
      <c r="C181" s="9" t="s">
        <v>1205</v>
      </c>
      <c r="D181" s="9" t="s">
        <v>478</v>
      </c>
      <c r="E181" s="9" t="s">
        <v>456</v>
      </c>
      <c r="F181" s="9" t="s">
        <v>418</v>
      </c>
      <c r="G181" s="9" t="s">
        <v>1206</v>
      </c>
      <c r="H181" s="9" t="s">
        <v>1207</v>
      </c>
      <c r="I181" s="9" t="s">
        <v>421</v>
      </c>
      <c r="J181" s="9" t="s">
        <v>231</v>
      </c>
      <c r="K181" s="9" t="s">
        <v>1208</v>
      </c>
      <c r="L181" s="9" t="s">
        <v>1209</v>
      </c>
      <c r="M181" s="9" t="s">
        <v>424</v>
      </c>
      <c r="N181" s="9" t="s">
        <v>1210</v>
      </c>
    </row>
    <row r="182" customFormat="false" ht="15" hidden="false" customHeight="true" outlineLevel="0" collapsed="false">
      <c r="A182" s="9" t="n">
        <v>178</v>
      </c>
      <c r="B182" s="9" t="s">
        <v>1211</v>
      </c>
      <c r="C182" s="9" t="s">
        <v>1212</v>
      </c>
      <c r="D182" s="9" t="s">
        <v>816</v>
      </c>
      <c r="E182" s="9" t="s">
        <v>500</v>
      </c>
      <c r="F182" s="9" t="s">
        <v>418</v>
      </c>
      <c r="G182" s="9" t="s">
        <v>1213</v>
      </c>
      <c r="H182" s="9" t="s">
        <v>1214</v>
      </c>
      <c r="I182" s="9" t="s">
        <v>421</v>
      </c>
      <c r="J182" s="9" t="s">
        <v>231</v>
      </c>
      <c r="K182" s="9" t="s">
        <v>1215</v>
      </c>
      <c r="L182" s="9" t="s">
        <v>1216</v>
      </c>
      <c r="M182" s="9" t="s">
        <v>424</v>
      </c>
      <c r="N182" s="9" t="s">
        <v>1217</v>
      </c>
    </row>
    <row r="183" customFormat="false" ht="15" hidden="false" customHeight="true" outlineLevel="0" collapsed="false">
      <c r="A183" s="9" t="n">
        <v>179</v>
      </c>
      <c r="B183" s="9" t="s">
        <v>1218</v>
      </c>
      <c r="C183" s="9" t="s">
        <v>1219</v>
      </c>
      <c r="D183" s="9" t="s">
        <v>816</v>
      </c>
      <c r="E183" s="9" t="s">
        <v>1220</v>
      </c>
      <c r="F183" s="9" t="s">
        <v>418</v>
      </c>
      <c r="G183" s="9" t="s">
        <v>1221</v>
      </c>
      <c r="H183" s="9" t="s">
        <v>1222</v>
      </c>
      <c r="I183" s="9" t="s">
        <v>421</v>
      </c>
      <c r="J183" s="9" t="s">
        <v>231</v>
      </c>
      <c r="K183" s="9" t="s">
        <v>1223</v>
      </c>
      <c r="L183" s="9" t="s">
        <v>1224</v>
      </c>
      <c r="M183" s="9" t="s">
        <v>424</v>
      </c>
      <c r="N183" s="9" t="s">
        <v>1225</v>
      </c>
    </row>
    <row r="184" customFormat="false" ht="15" hidden="false" customHeight="true" outlineLevel="0" collapsed="false">
      <c r="A184" s="9" t="n">
        <v>180</v>
      </c>
      <c r="B184" s="9" t="s">
        <v>1226</v>
      </c>
      <c r="C184" s="9" t="s">
        <v>1227</v>
      </c>
      <c r="D184" s="9" t="s">
        <v>816</v>
      </c>
      <c r="E184" s="9" t="s">
        <v>884</v>
      </c>
      <c r="F184" s="9" t="s">
        <v>418</v>
      </c>
      <c r="G184" s="9" t="s">
        <v>1228</v>
      </c>
      <c r="H184" s="9" t="s">
        <v>1229</v>
      </c>
      <c r="I184" s="9" t="s">
        <v>421</v>
      </c>
      <c r="J184" s="9" t="s">
        <v>231</v>
      </c>
      <c r="K184" s="9" t="s">
        <v>1230</v>
      </c>
      <c r="L184" s="9" t="s">
        <v>1231</v>
      </c>
      <c r="M184" s="9" t="s">
        <v>424</v>
      </c>
      <c r="N184" s="9" t="s">
        <v>1232</v>
      </c>
    </row>
    <row r="185" customFormat="false" ht="15" hidden="false" customHeight="true" outlineLevel="0" collapsed="false">
      <c r="A185" s="9" t="n">
        <v>181</v>
      </c>
      <c r="B185" s="9" t="s">
        <v>1233</v>
      </c>
      <c r="C185" s="9" t="s">
        <v>1234</v>
      </c>
      <c r="D185" s="9" t="s">
        <v>434</v>
      </c>
      <c r="E185" s="9" t="s">
        <v>435</v>
      </c>
      <c r="F185" s="9" t="s">
        <v>418</v>
      </c>
      <c r="G185" s="9" t="s">
        <v>1235</v>
      </c>
      <c r="H185" s="9" t="s">
        <v>1236</v>
      </c>
      <c r="I185" s="9" t="s">
        <v>421</v>
      </c>
      <c r="J185" s="9" t="s">
        <v>231</v>
      </c>
      <c r="K185" s="9" t="s">
        <v>1237</v>
      </c>
      <c r="L185" s="9" t="s">
        <v>1238</v>
      </c>
      <c r="M185" s="9" t="s">
        <v>424</v>
      </c>
      <c r="N185" s="9" t="s">
        <v>1239</v>
      </c>
    </row>
    <row r="186" customFormat="false" ht="15" hidden="false" customHeight="true" outlineLevel="0" collapsed="false">
      <c r="A186" s="9" t="n">
        <v>182</v>
      </c>
      <c r="B186" s="9" t="s">
        <v>1240</v>
      </c>
      <c r="C186" s="9" t="s">
        <v>1122</v>
      </c>
      <c r="D186" s="9" t="s">
        <v>816</v>
      </c>
      <c r="E186" s="9" t="s">
        <v>446</v>
      </c>
      <c r="F186" s="9" t="s">
        <v>418</v>
      </c>
      <c r="G186" s="9" t="s">
        <v>1241</v>
      </c>
      <c r="H186" s="9" t="s">
        <v>1124</v>
      </c>
      <c r="I186" s="9" t="s">
        <v>421</v>
      </c>
      <c r="J186" s="9" t="s">
        <v>231</v>
      </c>
      <c r="K186" s="9" t="s">
        <v>1242</v>
      </c>
      <c r="L186" s="9" t="s">
        <v>1243</v>
      </c>
      <c r="M186" s="9" t="s">
        <v>424</v>
      </c>
      <c r="N186" s="9" t="s">
        <v>1244</v>
      </c>
    </row>
    <row r="187" customFormat="false" ht="15" hidden="false" customHeight="true" outlineLevel="0" collapsed="false">
      <c r="A187" s="9" t="n">
        <v>183</v>
      </c>
      <c r="B187" s="9" t="s">
        <v>1245</v>
      </c>
      <c r="C187" s="9" t="s">
        <v>1246</v>
      </c>
      <c r="D187" s="9" t="s">
        <v>427</v>
      </c>
      <c r="E187" s="9" t="s">
        <v>428</v>
      </c>
      <c r="F187" s="9" t="s">
        <v>418</v>
      </c>
      <c r="G187" s="9" t="s">
        <v>1247</v>
      </c>
      <c r="H187" s="9" t="s">
        <v>1248</v>
      </c>
      <c r="I187" s="9" t="s">
        <v>421</v>
      </c>
      <c r="J187" s="9" t="s">
        <v>231</v>
      </c>
      <c r="K187" s="9" t="s">
        <v>1249</v>
      </c>
      <c r="L187" s="9" t="s">
        <v>1250</v>
      </c>
      <c r="M187" s="9" t="s">
        <v>424</v>
      </c>
      <c r="N187" s="9" t="s">
        <v>1251</v>
      </c>
    </row>
    <row r="188" customFormat="false" ht="15" hidden="false" customHeight="true" outlineLevel="0" collapsed="false">
      <c r="A188" s="9" t="n">
        <v>184</v>
      </c>
      <c r="B188" s="9" t="s">
        <v>1252</v>
      </c>
      <c r="C188" s="9" t="s">
        <v>1253</v>
      </c>
      <c r="D188" s="9" t="s">
        <v>445</v>
      </c>
      <c r="E188" s="9" t="s">
        <v>435</v>
      </c>
      <c r="F188" s="9" t="s">
        <v>418</v>
      </c>
      <c r="G188" s="9" t="s">
        <v>1254</v>
      </c>
      <c r="H188" s="9" t="s">
        <v>579</v>
      </c>
      <c r="I188" s="9" t="s">
        <v>421</v>
      </c>
      <c r="J188" s="9" t="s">
        <v>231</v>
      </c>
      <c r="K188" s="9" t="s">
        <v>1255</v>
      </c>
      <c r="L188" s="9" t="s">
        <v>1256</v>
      </c>
      <c r="M188" s="9" t="s">
        <v>424</v>
      </c>
      <c r="N188" s="9" t="s">
        <v>1257</v>
      </c>
    </row>
    <row r="189" customFormat="false" ht="15" hidden="false" customHeight="true" outlineLevel="0" collapsed="false">
      <c r="A189" s="9" t="n">
        <v>185</v>
      </c>
      <c r="B189" s="9" t="s">
        <v>1258</v>
      </c>
      <c r="C189" s="9" t="s">
        <v>1259</v>
      </c>
      <c r="D189" s="9" t="s">
        <v>478</v>
      </c>
      <c r="E189" s="9" t="s">
        <v>485</v>
      </c>
      <c r="F189" s="9" t="s">
        <v>418</v>
      </c>
      <c r="G189" s="9" t="s">
        <v>1260</v>
      </c>
      <c r="H189" s="9" t="s">
        <v>1261</v>
      </c>
      <c r="I189" s="9" t="s">
        <v>421</v>
      </c>
      <c r="J189" s="9" t="s">
        <v>231</v>
      </c>
      <c r="K189" s="9" t="s">
        <v>1262</v>
      </c>
      <c r="L189" s="9" t="s">
        <v>1263</v>
      </c>
      <c r="M189" s="9" t="s">
        <v>424</v>
      </c>
      <c r="N189" s="9" t="s">
        <v>1264</v>
      </c>
    </row>
    <row r="190" customFormat="false" ht="15" hidden="false" customHeight="true" outlineLevel="0" collapsed="false">
      <c r="A190" s="9" t="n">
        <v>186</v>
      </c>
      <c r="B190" s="9" t="s">
        <v>1265</v>
      </c>
      <c r="C190" s="9" t="s">
        <v>1266</v>
      </c>
      <c r="D190" s="9" t="s">
        <v>816</v>
      </c>
      <c r="E190" s="9" t="s">
        <v>974</v>
      </c>
      <c r="F190" s="9" t="s">
        <v>418</v>
      </c>
      <c r="G190" s="9" t="s">
        <v>1267</v>
      </c>
      <c r="H190" s="9" t="s">
        <v>1268</v>
      </c>
      <c r="I190" s="9" t="s">
        <v>421</v>
      </c>
      <c r="J190" s="9" t="s">
        <v>231</v>
      </c>
      <c r="K190" s="9" t="s">
        <v>1269</v>
      </c>
      <c r="L190" s="9" t="s">
        <v>1270</v>
      </c>
      <c r="M190" s="9" t="s">
        <v>424</v>
      </c>
      <c r="N190" s="9" t="s">
        <v>1271</v>
      </c>
    </row>
    <row r="191" customFormat="false" ht="15" hidden="false" customHeight="true" outlineLevel="0" collapsed="false">
      <c r="A191" s="9" t="n">
        <v>187</v>
      </c>
      <c r="B191" s="9" t="s">
        <v>1272</v>
      </c>
      <c r="C191" s="9" t="s">
        <v>1273</v>
      </c>
      <c r="D191" s="9" t="s">
        <v>816</v>
      </c>
      <c r="E191" s="9" t="s">
        <v>861</v>
      </c>
      <c r="F191" s="9" t="s">
        <v>418</v>
      </c>
      <c r="G191" s="9" t="s">
        <v>1274</v>
      </c>
      <c r="H191" s="9" t="s">
        <v>1275</v>
      </c>
      <c r="I191" s="9" t="s">
        <v>421</v>
      </c>
      <c r="J191" s="9" t="s">
        <v>231</v>
      </c>
      <c r="K191" s="9" t="s">
        <v>1276</v>
      </c>
      <c r="L191" s="9" t="s">
        <v>1277</v>
      </c>
      <c r="M191" s="9" t="s">
        <v>424</v>
      </c>
      <c r="N191" s="9" t="s">
        <v>1278</v>
      </c>
    </row>
    <row r="192" customFormat="false" ht="15" hidden="false" customHeight="true" outlineLevel="0" collapsed="false">
      <c r="A192" s="9" t="n">
        <v>188</v>
      </c>
      <c r="B192" s="9" t="s">
        <v>1279</v>
      </c>
      <c r="C192" s="9" t="s">
        <v>1280</v>
      </c>
      <c r="D192" s="9" t="s">
        <v>445</v>
      </c>
      <c r="E192" s="9" t="s">
        <v>500</v>
      </c>
      <c r="F192" s="9" t="s">
        <v>418</v>
      </c>
      <c r="G192" s="9" t="s">
        <v>1281</v>
      </c>
      <c r="H192" s="9" t="s">
        <v>1282</v>
      </c>
      <c r="I192" s="9" t="s">
        <v>421</v>
      </c>
      <c r="J192" s="9" t="s">
        <v>231</v>
      </c>
      <c r="K192" s="9" t="s">
        <v>1283</v>
      </c>
      <c r="L192" s="9" t="s">
        <v>1284</v>
      </c>
      <c r="M192" s="9" t="s">
        <v>424</v>
      </c>
      <c r="N192" s="9" t="s">
        <v>1285</v>
      </c>
    </row>
    <row r="193" customFormat="false" ht="15" hidden="false" customHeight="true" outlineLevel="0" collapsed="false">
      <c r="A193" s="9" t="n">
        <v>189</v>
      </c>
      <c r="B193" s="9" t="s">
        <v>1286</v>
      </c>
      <c r="C193" s="9" t="s">
        <v>661</v>
      </c>
      <c r="D193" s="9" t="s">
        <v>445</v>
      </c>
      <c r="E193" s="9" t="s">
        <v>446</v>
      </c>
      <c r="F193" s="9" t="s">
        <v>418</v>
      </c>
      <c r="G193" s="9" t="s">
        <v>662</v>
      </c>
      <c r="H193" s="9" t="s">
        <v>1287</v>
      </c>
      <c r="I193" s="9" t="s">
        <v>421</v>
      </c>
      <c r="J193" s="9" t="s">
        <v>231</v>
      </c>
      <c r="K193" s="9" t="s">
        <v>1288</v>
      </c>
      <c r="L193" s="9" t="s">
        <v>1289</v>
      </c>
      <c r="M193" s="9" t="s">
        <v>424</v>
      </c>
      <c r="N193" s="9" t="s">
        <v>1290</v>
      </c>
    </row>
    <row r="194" customFormat="false" ht="15" hidden="false" customHeight="true" outlineLevel="0" collapsed="false">
      <c r="A194" s="9" t="n">
        <v>190</v>
      </c>
      <c r="B194" s="9" t="s">
        <v>1291</v>
      </c>
      <c r="C194" s="9" t="s">
        <v>1292</v>
      </c>
      <c r="D194" s="9" t="s">
        <v>445</v>
      </c>
      <c r="E194" s="9" t="s">
        <v>479</v>
      </c>
      <c r="F194" s="9" t="s">
        <v>418</v>
      </c>
      <c r="G194" s="9" t="s">
        <v>1293</v>
      </c>
      <c r="H194" s="9" t="s">
        <v>1294</v>
      </c>
      <c r="I194" s="9" t="s">
        <v>421</v>
      </c>
      <c r="J194" s="9" t="s">
        <v>231</v>
      </c>
      <c r="K194" s="9" t="s">
        <v>1295</v>
      </c>
      <c r="L194" s="9" t="s">
        <v>1296</v>
      </c>
      <c r="M194" s="9" t="s">
        <v>368</v>
      </c>
      <c r="N194" s="9" t="s">
        <v>1297</v>
      </c>
    </row>
    <row r="195" customFormat="false" ht="15" hidden="false" customHeight="true" outlineLevel="0" collapsed="false">
      <c r="A195" s="9" t="n">
        <v>191</v>
      </c>
      <c r="B195" s="9" t="s">
        <v>1298</v>
      </c>
      <c r="C195" s="9" t="s">
        <v>1280</v>
      </c>
      <c r="D195" s="9" t="s">
        <v>445</v>
      </c>
      <c r="E195" s="9" t="s">
        <v>485</v>
      </c>
      <c r="F195" s="9" t="s">
        <v>418</v>
      </c>
      <c r="G195" s="9" t="s">
        <v>1299</v>
      </c>
      <c r="H195" s="9" t="s">
        <v>1300</v>
      </c>
      <c r="I195" s="9" t="s">
        <v>421</v>
      </c>
      <c r="J195" s="9" t="s">
        <v>231</v>
      </c>
      <c r="K195" s="9" t="s">
        <v>1301</v>
      </c>
      <c r="L195" s="9" t="s">
        <v>1302</v>
      </c>
      <c r="M195" s="9" t="s">
        <v>424</v>
      </c>
      <c r="N195" s="9" t="s">
        <v>1303</v>
      </c>
    </row>
    <row r="196" customFormat="false" ht="15" hidden="false" customHeight="true" outlineLevel="0" collapsed="false">
      <c r="A196" s="9" t="n">
        <v>192</v>
      </c>
      <c r="B196" s="9" t="s">
        <v>1304</v>
      </c>
      <c r="C196" s="9" t="s">
        <v>1305</v>
      </c>
      <c r="D196" s="9" t="s">
        <v>478</v>
      </c>
      <c r="E196" s="9" t="s">
        <v>817</v>
      </c>
      <c r="F196" s="9" t="s">
        <v>418</v>
      </c>
      <c r="G196" s="9" t="s">
        <v>1306</v>
      </c>
      <c r="H196" s="9" t="s">
        <v>1307</v>
      </c>
      <c r="I196" s="9" t="s">
        <v>421</v>
      </c>
      <c r="J196" s="9" t="s">
        <v>231</v>
      </c>
      <c r="K196" s="9" t="s">
        <v>1308</v>
      </c>
      <c r="L196" s="9" t="s">
        <v>1309</v>
      </c>
      <c r="M196" s="9" t="s">
        <v>424</v>
      </c>
      <c r="N196" s="9" t="s">
        <v>1310</v>
      </c>
    </row>
    <row r="197" customFormat="false" ht="15" hidden="false" customHeight="true" outlineLevel="0" collapsed="false">
      <c r="A197" s="9" t="n">
        <v>193</v>
      </c>
      <c r="B197" s="9" t="s">
        <v>1311</v>
      </c>
      <c r="C197" s="9" t="s">
        <v>1312</v>
      </c>
      <c r="D197" s="9" t="s">
        <v>478</v>
      </c>
      <c r="E197" s="9" t="s">
        <v>846</v>
      </c>
      <c r="F197" s="9" t="s">
        <v>418</v>
      </c>
      <c r="G197" s="9" t="s">
        <v>1313</v>
      </c>
      <c r="H197" s="9" t="s">
        <v>1314</v>
      </c>
      <c r="I197" s="9" t="s">
        <v>421</v>
      </c>
      <c r="J197" s="9" t="s">
        <v>231</v>
      </c>
      <c r="K197" s="9" t="s">
        <v>1315</v>
      </c>
      <c r="L197" s="9" t="s">
        <v>1316</v>
      </c>
      <c r="M197" s="9" t="s">
        <v>424</v>
      </c>
      <c r="N197" s="9" t="s">
        <v>1317</v>
      </c>
    </row>
    <row r="198" customFormat="false" ht="15" hidden="false" customHeight="true" outlineLevel="0" collapsed="false">
      <c r="A198" s="9" t="n">
        <v>194</v>
      </c>
      <c r="B198" s="9" t="s">
        <v>1318</v>
      </c>
      <c r="C198" s="9" t="s">
        <v>1319</v>
      </c>
      <c r="D198" s="9" t="s">
        <v>816</v>
      </c>
      <c r="E198" s="9" t="s">
        <v>861</v>
      </c>
      <c r="F198" s="9" t="s">
        <v>418</v>
      </c>
      <c r="G198" s="9" t="s">
        <v>1320</v>
      </c>
      <c r="H198" s="9" t="s">
        <v>1321</v>
      </c>
      <c r="I198" s="9" t="s">
        <v>421</v>
      </c>
      <c r="J198" s="9" t="s">
        <v>231</v>
      </c>
      <c r="K198" s="9" t="s">
        <v>1322</v>
      </c>
      <c r="L198" s="9" t="s">
        <v>1323</v>
      </c>
      <c r="M198" s="9" t="s">
        <v>424</v>
      </c>
      <c r="N198" s="9" t="s">
        <v>1324</v>
      </c>
    </row>
    <row r="199" customFormat="false" ht="15" hidden="false" customHeight="true" outlineLevel="0" collapsed="false">
      <c r="A199" s="9" t="n">
        <v>195</v>
      </c>
      <c r="B199" s="9" t="s">
        <v>1325</v>
      </c>
      <c r="C199" s="9" t="s">
        <v>1326</v>
      </c>
      <c r="D199" s="9" t="s">
        <v>478</v>
      </c>
      <c r="E199" s="9" t="s">
        <v>876</v>
      </c>
      <c r="F199" s="9" t="s">
        <v>418</v>
      </c>
      <c r="G199" s="9" t="s">
        <v>1327</v>
      </c>
      <c r="H199" s="9" t="s">
        <v>1328</v>
      </c>
      <c r="I199" s="9" t="s">
        <v>421</v>
      </c>
      <c r="J199" s="9" t="s">
        <v>231</v>
      </c>
      <c r="K199" s="9" t="s">
        <v>1329</v>
      </c>
      <c r="L199" s="9" t="s">
        <v>1330</v>
      </c>
      <c r="M199" s="9" t="s">
        <v>424</v>
      </c>
      <c r="N199" s="9" t="s">
        <v>1331</v>
      </c>
    </row>
    <row r="200" customFormat="false" ht="15" hidden="false" customHeight="true" outlineLevel="0" collapsed="false">
      <c r="A200" s="9" t="n">
        <v>196</v>
      </c>
      <c r="B200" s="9" t="s">
        <v>1332</v>
      </c>
      <c r="C200" s="9" t="s">
        <v>48</v>
      </c>
      <c r="D200" s="9" t="s">
        <v>434</v>
      </c>
      <c r="E200" s="9" t="s">
        <v>428</v>
      </c>
      <c r="F200" s="9" t="s">
        <v>418</v>
      </c>
      <c r="G200" s="9" t="s">
        <v>1333</v>
      </c>
      <c r="H200" s="9" t="s">
        <v>1334</v>
      </c>
      <c r="I200" s="9" t="s">
        <v>421</v>
      </c>
      <c r="J200" s="9" t="s">
        <v>231</v>
      </c>
      <c r="K200" s="9" t="s">
        <v>1335</v>
      </c>
      <c r="L200" s="9" t="s">
        <v>1336</v>
      </c>
      <c r="M200" s="9" t="s">
        <v>424</v>
      </c>
      <c r="N200" s="9" t="s">
        <v>1337</v>
      </c>
    </row>
    <row r="201" customFormat="false" ht="15" hidden="false" customHeight="true" outlineLevel="0" collapsed="false">
      <c r="A201" s="9" t="n">
        <v>197</v>
      </c>
      <c r="B201" s="9" t="s">
        <v>1338</v>
      </c>
      <c r="C201" s="9" t="s">
        <v>1339</v>
      </c>
      <c r="D201" s="9" t="s">
        <v>816</v>
      </c>
      <c r="E201" s="9" t="s">
        <v>446</v>
      </c>
      <c r="F201" s="9" t="s">
        <v>418</v>
      </c>
      <c r="G201" s="9" t="s">
        <v>1340</v>
      </c>
      <c r="H201" s="9" t="s">
        <v>1341</v>
      </c>
      <c r="I201" s="9" t="s">
        <v>421</v>
      </c>
      <c r="J201" s="9" t="s">
        <v>231</v>
      </c>
      <c r="K201" s="9" t="s">
        <v>1342</v>
      </c>
      <c r="L201" s="9" t="s">
        <v>1343</v>
      </c>
      <c r="M201" s="9" t="s">
        <v>424</v>
      </c>
      <c r="N201" s="9" t="s">
        <v>1344</v>
      </c>
    </row>
    <row r="202" customFormat="false" ht="15" hidden="false" customHeight="true" outlineLevel="0" collapsed="false">
      <c r="A202" s="9" t="n">
        <v>198</v>
      </c>
      <c r="B202" s="9" t="s">
        <v>1345</v>
      </c>
      <c r="C202" s="9" t="s">
        <v>1346</v>
      </c>
      <c r="D202" s="9" t="s">
        <v>434</v>
      </c>
      <c r="E202" s="9" t="s">
        <v>876</v>
      </c>
      <c r="F202" s="9" t="s">
        <v>418</v>
      </c>
      <c r="G202" s="9" t="s">
        <v>1347</v>
      </c>
      <c r="H202" s="9" t="s">
        <v>1348</v>
      </c>
      <c r="I202" s="9" t="s">
        <v>421</v>
      </c>
      <c r="J202" s="9" t="s">
        <v>231</v>
      </c>
      <c r="K202" s="9" t="s">
        <v>1349</v>
      </c>
      <c r="L202" s="9" t="s">
        <v>1350</v>
      </c>
      <c r="M202" s="9" t="s">
        <v>424</v>
      </c>
      <c r="N202" s="9" t="s">
        <v>1351</v>
      </c>
    </row>
    <row r="203" customFormat="false" ht="15" hidden="false" customHeight="true" outlineLevel="0" collapsed="false">
      <c r="A203" s="9" t="n">
        <v>199</v>
      </c>
      <c r="B203" s="9" t="s">
        <v>1352</v>
      </c>
      <c r="C203" s="9" t="s">
        <v>1353</v>
      </c>
      <c r="D203" s="9" t="s">
        <v>478</v>
      </c>
      <c r="E203" s="9" t="s">
        <v>446</v>
      </c>
      <c r="F203" s="9" t="s">
        <v>418</v>
      </c>
      <c r="G203" s="9" t="s">
        <v>1354</v>
      </c>
      <c r="H203" s="9" t="s">
        <v>1355</v>
      </c>
      <c r="I203" s="9" t="s">
        <v>421</v>
      </c>
      <c r="J203" s="9" t="s">
        <v>231</v>
      </c>
      <c r="K203" s="9" t="s">
        <v>1356</v>
      </c>
      <c r="L203" s="9" t="s">
        <v>1357</v>
      </c>
      <c r="M203" s="9" t="s">
        <v>424</v>
      </c>
      <c r="N203" s="9" t="s">
        <v>1358</v>
      </c>
    </row>
    <row r="204" customFormat="false" ht="15" hidden="false" customHeight="true" outlineLevel="0" collapsed="false">
      <c r="A204" s="9" t="n">
        <v>200</v>
      </c>
      <c r="B204" s="9" t="s">
        <v>1359</v>
      </c>
      <c r="C204" s="9" t="s">
        <v>48</v>
      </c>
      <c r="D204" s="9" t="s">
        <v>816</v>
      </c>
      <c r="E204" s="9" t="s">
        <v>435</v>
      </c>
      <c r="F204" s="9" t="s">
        <v>418</v>
      </c>
      <c r="G204" s="9" t="s">
        <v>1360</v>
      </c>
      <c r="H204" s="9" t="s">
        <v>1361</v>
      </c>
      <c r="I204" s="9" t="s">
        <v>421</v>
      </c>
      <c r="J204" s="9" t="s">
        <v>231</v>
      </c>
      <c r="K204" s="9" t="s">
        <v>1362</v>
      </c>
      <c r="L204" s="9" t="s">
        <v>1363</v>
      </c>
      <c r="M204" s="9" t="s">
        <v>424</v>
      </c>
      <c r="N204" s="9" t="s">
        <v>1364</v>
      </c>
    </row>
    <row r="205" customFormat="false" ht="15" hidden="false" customHeight="true" outlineLevel="0" collapsed="false">
      <c r="A205" s="9" t="n">
        <v>201</v>
      </c>
      <c r="B205" s="9" t="s">
        <v>1365</v>
      </c>
      <c r="C205" s="9" t="s">
        <v>1366</v>
      </c>
      <c r="D205" s="9" t="s">
        <v>478</v>
      </c>
      <c r="E205" s="9" t="s">
        <v>846</v>
      </c>
      <c r="F205" s="9" t="s">
        <v>418</v>
      </c>
      <c r="G205" s="9" t="s">
        <v>1367</v>
      </c>
      <c r="H205" s="9" t="s">
        <v>1368</v>
      </c>
      <c r="I205" s="9" t="s">
        <v>421</v>
      </c>
      <c r="J205" s="9" t="s">
        <v>231</v>
      </c>
      <c r="K205" s="9" t="s">
        <v>1369</v>
      </c>
      <c r="L205" s="9" t="s">
        <v>1370</v>
      </c>
      <c r="M205" s="9" t="s">
        <v>424</v>
      </c>
      <c r="N205" s="9" t="s">
        <v>1371</v>
      </c>
    </row>
    <row r="206" customFormat="false" ht="15" hidden="false" customHeight="true" outlineLevel="0" collapsed="false">
      <c r="A206" s="9" t="n">
        <v>202</v>
      </c>
      <c r="B206" s="9" t="s">
        <v>1372</v>
      </c>
      <c r="C206" s="9" t="s">
        <v>1373</v>
      </c>
      <c r="D206" s="9" t="s">
        <v>427</v>
      </c>
      <c r="E206" s="9" t="s">
        <v>500</v>
      </c>
      <c r="F206" s="9" t="s">
        <v>418</v>
      </c>
      <c r="G206" s="9" t="s">
        <v>1374</v>
      </c>
      <c r="H206" s="9" t="s">
        <v>1375</v>
      </c>
      <c r="I206" s="9" t="s">
        <v>421</v>
      </c>
      <c r="J206" s="9" t="s">
        <v>231</v>
      </c>
      <c r="K206" s="9" t="s">
        <v>1376</v>
      </c>
      <c r="L206" s="9" t="s">
        <v>1377</v>
      </c>
      <c r="M206" s="9" t="s">
        <v>424</v>
      </c>
      <c r="N206" s="9" t="s">
        <v>1378</v>
      </c>
    </row>
    <row r="207" customFormat="false" ht="15" hidden="false" customHeight="true" outlineLevel="0" collapsed="false">
      <c r="A207" s="9" t="n">
        <v>203</v>
      </c>
      <c r="B207" s="9" t="s">
        <v>1379</v>
      </c>
      <c r="C207" s="9" t="s">
        <v>1380</v>
      </c>
      <c r="D207" s="9" t="s">
        <v>427</v>
      </c>
      <c r="E207" s="9" t="s">
        <v>456</v>
      </c>
      <c r="F207" s="9" t="s">
        <v>418</v>
      </c>
      <c r="G207" s="9" t="s">
        <v>1381</v>
      </c>
      <c r="H207" s="9" t="s">
        <v>1382</v>
      </c>
      <c r="I207" s="9" t="s">
        <v>421</v>
      </c>
      <c r="J207" s="9" t="s">
        <v>231</v>
      </c>
      <c r="K207" s="9" t="s">
        <v>1383</v>
      </c>
      <c r="L207" s="9" t="s">
        <v>1384</v>
      </c>
      <c r="M207" s="9" t="s">
        <v>424</v>
      </c>
      <c r="N207" s="9" t="s">
        <v>1385</v>
      </c>
    </row>
    <row r="208" customFormat="false" ht="15" hidden="false" customHeight="true" outlineLevel="0" collapsed="false">
      <c r="A208" s="9" t="n">
        <v>204</v>
      </c>
      <c r="B208" s="9" t="s">
        <v>1386</v>
      </c>
      <c r="C208" s="9" t="s">
        <v>1387</v>
      </c>
      <c r="D208" s="9" t="s">
        <v>427</v>
      </c>
      <c r="E208" s="9" t="s">
        <v>1388</v>
      </c>
      <c r="F208" s="9" t="s">
        <v>418</v>
      </c>
      <c r="G208" s="9" t="s">
        <v>1389</v>
      </c>
      <c r="H208" s="9" t="s">
        <v>1390</v>
      </c>
      <c r="I208" s="9" t="s">
        <v>421</v>
      </c>
      <c r="J208" s="9" t="s">
        <v>231</v>
      </c>
      <c r="K208" s="9" t="s">
        <v>1391</v>
      </c>
      <c r="L208" s="9" t="s">
        <v>1392</v>
      </c>
      <c r="M208" s="9" t="s">
        <v>424</v>
      </c>
      <c r="N208" s="9" t="s">
        <v>1393</v>
      </c>
    </row>
    <row r="209" customFormat="false" ht="15" hidden="false" customHeight="true" outlineLevel="0" collapsed="false">
      <c r="A209" s="9" t="n">
        <v>205</v>
      </c>
      <c r="B209" s="9" t="s">
        <v>1394</v>
      </c>
      <c r="C209" s="9" t="s">
        <v>1395</v>
      </c>
      <c r="D209" s="9" t="s">
        <v>434</v>
      </c>
      <c r="E209" s="9" t="s">
        <v>485</v>
      </c>
      <c r="F209" s="9" t="s">
        <v>418</v>
      </c>
      <c r="G209" s="9" t="s">
        <v>1396</v>
      </c>
      <c r="H209" s="9" t="s">
        <v>1397</v>
      </c>
      <c r="I209" s="9" t="s">
        <v>421</v>
      </c>
      <c r="J209" s="9" t="s">
        <v>231</v>
      </c>
      <c r="K209" s="9" t="s">
        <v>1398</v>
      </c>
      <c r="L209" s="9" t="s">
        <v>1399</v>
      </c>
      <c r="M209" s="9" t="s">
        <v>424</v>
      </c>
      <c r="N209" s="9" t="s">
        <v>1400</v>
      </c>
    </row>
    <row r="210" customFormat="false" ht="15" hidden="false" customHeight="true" outlineLevel="0" collapsed="false">
      <c r="A210" s="9" t="n">
        <v>206</v>
      </c>
      <c r="B210" s="9" t="s">
        <v>1401</v>
      </c>
      <c r="C210" s="9" t="s">
        <v>1402</v>
      </c>
      <c r="D210" s="9" t="s">
        <v>434</v>
      </c>
      <c r="E210" s="9" t="s">
        <v>500</v>
      </c>
      <c r="F210" s="9" t="s">
        <v>418</v>
      </c>
      <c r="G210" s="9" t="s">
        <v>1403</v>
      </c>
      <c r="H210" s="9" t="s">
        <v>1404</v>
      </c>
      <c r="I210" s="9" t="s">
        <v>421</v>
      </c>
      <c r="J210" s="9" t="s">
        <v>231</v>
      </c>
      <c r="K210" s="9" t="s">
        <v>1405</v>
      </c>
      <c r="L210" s="9" t="s">
        <v>1406</v>
      </c>
      <c r="M210" s="9" t="s">
        <v>424</v>
      </c>
      <c r="N210" s="9" t="s">
        <v>1407</v>
      </c>
    </row>
    <row r="211" customFormat="false" ht="15" hidden="false" customHeight="true" outlineLevel="0" collapsed="false">
      <c r="A211" s="9" t="n">
        <v>207</v>
      </c>
      <c r="B211" s="9" t="s">
        <v>1408</v>
      </c>
      <c r="C211" s="9" t="s">
        <v>1409</v>
      </c>
      <c r="D211" s="9" t="s">
        <v>434</v>
      </c>
      <c r="E211" s="9" t="s">
        <v>485</v>
      </c>
      <c r="F211" s="9" t="s">
        <v>418</v>
      </c>
      <c r="G211" s="9" t="s">
        <v>1410</v>
      </c>
      <c r="H211" s="9" t="s">
        <v>1411</v>
      </c>
      <c r="I211" s="9" t="s">
        <v>421</v>
      </c>
      <c r="J211" s="9" t="s">
        <v>231</v>
      </c>
      <c r="K211" s="9" t="s">
        <v>1412</v>
      </c>
      <c r="L211" s="9" t="s">
        <v>1413</v>
      </c>
      <c r="M211" s="9" t="s">
        <v>424</v>
      </c>
      <c r="N211" s="9" t="s">
        <v>1414</v>
      </c>
    </row>
    <row r="212" customFormat="false" ht="15" hidden="false" customHeight="true" outlineLevel="0" collapsed="false">
      <c r="A212" s="9" t="n">
        <v>208</v>
      </c>
      <c r="B212" s="9" t="s">
        <v>1415</v>
      </c>
      <c r="C212" s="9" t="s">
        <v>48</v>
      </c>
      <c r="D212" s="9" t="s">
        <v>434</v>
      </c>
      <c r="E212" s="9" t="s">
        <v>479</v>
      </c>
      <c r="F212" s="9" t="s">
        <v>418</v>
      </c>
      <c r="G212" s="9" t="s">
        <v>1416</v>
      </c>
      <c r="H212" s="9" t="s">
        <v>1355</v>
      </c>
      <c r="I212" s="9" t="s">
        <v>421</v>
      </c>
      <c r="J212" s="9" t="s">
        <v>231</v>
      </c>
      <c r="K212" s="9" t="s">
        <v>1417</v>
      </c>
      <c r="L212" s="9" t="s">
        <v>1418</v>
      </c>
      <c r="M212" s="9" t="s">
        <v>424</v>
      </c>
      <c r="N212" s="9" t="s">
        <v>1419</v>
      </c>
    </row>
    <row r="213" customFormat="false" ht="15" hidden="false" customHeight="true" outlineLevel="0" collapsed="false">
      <c r="A213" s="9" t="n">
        <v>209</v>
      </c>
      <c r="B213" s="9" t="s">
        <v>1420</v>
      </c>
      <c r="C213" s="9" t="s">
        <v>48</v>
      </c>
      <c r="D213" s="9" t="s">
        <v>434</v>
      </c>
      <c r="E213" s="9" t="s">
        <v>479</v>
      </c>
      <c r="F213" s="9" t="s">
        <v>418</v>
      </c>
      <c r="G213" s="9" t="s">
        <v>1421</v>
      </c>
      <c r="H213" s="9" t="s">
        <v>1422</v>
      </c>
      <c r="I213" s="9" t="s">
        <v>421</v>
      </c>
      <c r="J213" s="9" t="s">
        <v>231</v>
      </c>
      <c r="K213" s="9" t="s">
        <v>1423</v>
      </c>
      <c r="L213" s="9" t="s">
        <v>1424</v>
      </c>
      <c r="M213" s="9" t="s">
        <v>424</v>
      </c>
      <c r="N213" s="9" t="s">
        <v>1425</v>
      </c>
    </row>
    <row r="214" customFormat="false" ht="15" hidden="false" customHeight="true" outlineLevel="0" collapsed="false">
      <c r="A214" s="9" t="n">
        <v>210</v>
      </c>
      <c r="B214" s="9" t="s">
        <v>1426</v>
      </c>
      <c r="C214" s="9" t="s">
        <v>48</v>
      </c>
      <c r="D214" s="9" t="s">
        <v>452</v>
      </c>
      <c r="E214" s="9" t="s">
        <v>446</v>
      </c>
      <c r="F214" s="9" t="s">
        <v>418</v>
      </c>
      <c r="G214" s="9" t="s">
        <v>1427</v>
      </c>
      <c r="H214" s="9" t="s">
        <v>1428</v>
      </c>
      <c r="I214" s="9" t="s">
        <v>421</v>
      </c>
      <c r="J214" s="9" t="s">
        <v>231</v>
      </c>
      <c r="K214" s="9" t="s">
        <v>1429</v>
      </c>
      <c r="L214" s="9" t="s">
        <v>1430</v>
      </c>
      <c r="M214" s="9" t="s">
        <v>424</v>
      </c>
      <c r="N214" s="9" t="s">
        <v>1431</v>
      </c>
    </row>
    <row r="215" customFormat="false" ht="15" hidden="false" customHeight="true" outlineLevel="0" collapsed="false">
      <c r="A215" s="9" t="n">
        <v>211</v>
      </c>
      <c r="B215" s="9" t="s">
        <v>1432</v>
      </c>
      <c r="C215" s="9" t="s">
        <v>1433</v>
      </c>
      <c r="D215" s="9" t="s">
        <v>440</v>
      </c>
      <c r="E215" s="9" t="s">
        <v>435</v>
      </c>
      <c r="F215" s="9" t="s">
        <v>418</v>
      </c>
      <c r="G215" s="9" t="s">
        <v>1434</v>
      </c>
      <c r="H215" s="9" t="s">
        <v>1435</v>
      </c>
      <c r="I215" s="9" t="s">
        <v>421</v>
      </c>
      <c r="J215" s="9" t="s">
        <v>231</v>
      </c>
      <c r="K215" s="9" t="s">
        <v>1436</v>
      </c>
      <c r="L215" s="9" t="s">
        <v>1437</v>
      </c>
      <c r="M215" s="9" t="s">
        <v>424</v>
      </c>
      <c r="N215" s="9" t="s">
        <v>1438</v>
      </c>
    </row>
    <row r="216" customFormat="false" ht="15" hidden="false" customHeight="true" outlineLevel="0" collapsed="false">
      <c r="A216" s="9" t="n">
        <v>212</v>
      </c>
      <c r="B216" s="9" t="s">
        <v>1439</v>
      </c>
      <c r="C216" s="9" t="s">
        <v>1440</v>
      </c>
      <c r="D216" s="9" t="s">
        <v>478</v>
      </c>
      <c r="E216" s="9" t="s">
        <v>861</v>
      </c>
      <c r="F216" s="9" t="s">
        <v>418</v>
      </c>
      <c r="G216" s="9" t="s">
        <v>1441</v>
      </c>
      <c r="H216" s="9" t="s">
        <v>1442</v>
      </c>
      <c r="I216" s="9" t="s">
        <v>421</v>
      </c>
      <c r="J216" s="9" t="s">
        <v>231</v>
      </c>
      <c r="K216" s="9" t="s">
        <v>1443</v>
      </c>
      <c r="L216" s="9" t="s">
        <v>1444</v>
      </c>
      <c r="M216" s="9" t="s">
        <v>424</v>
      </c>
      <c r="N216" s="9" t="s">
        <v>1445</v>
      </c>
    </row>
    <row r="217" customFormat="false" ht="15" hidden="false" customHeight="true" outlineLevel="0" collapsed="false">
      <c r="A217" s="9" t="n">
        <v>213</v>
      </c>
      <c r="B217" s="9" t="s">
        <v>1446</v>
      </c>
      <c r="C217" s="9" t="s">
        <v>1447</v>
      </c>
      <c r="D217" s="9" t="s">
        <v>445</v>
      </c>
      <c r="E217" s="9" t="s">
        <v>817</v>
      </c>
      <c r="F217" s="9" t="s">
        <v>418</v>
      </c>
      <c r="G217" s="9" t="s">
        <v>1448</v>
      </c>
      <c r="H217" s="9" t="s">
        <v>1449</v>
      </c>
      <c r="I217" s="9" t="s">
        <v>421</v>
      </c>
      <c r="J217" s="9" t="s">
        <v>231</v>
      </c>
      <c r="K217" s="9" t="s">
        <v>1450</v>
      </c>
      <c r="L217" s="9" t="s">
        <v>1451</v>
      </c>
      <c r="M217" s="9" t="s">
        <v>424</v>
      </c>
      <c r="N217" s="9" t="s">
        <v>1452</v>
      </c>
    </row>
    <row r="218" customFormat="false" ht="15" hidden="false" customHeight="true" outlineLevel="0" collapsed="false">
      <c r="A218" s="9" t="n">
        <v>214</v>
      </c>
      <c r="B218" s="9" t="s">
        <v>1453</v>
      </c>
      <c r="C218" s="9" t="s">
        <v>1454</v>
      </c>
      <c r="D218" s="9" t="s">
        <v>434</v>
      </c>
      <c r="E218" s="9" t="s">
        <v>485</v>
      </c>
      <c r="F218" s="9" t="s">
        <v>418</v>
      </c>
      <c r="G218" s="9" t="s">
        <v>1455</v>
      </c>
      <c r="H218" s="9" t="s">
        <v>1456</v>
      </c>
      <c r="I218" s="9" t="s">
        <v>421</v>
      </c>
      <c r="J218" s="9" t="s">
        <v>231</v>
      </c>
      <c r="K218" s="9" t="s">
        <v>1457</v>
      </c>
      <c r="L218" s="9" t="s">
        <v>1458</v>
      </c>
      <c r="M218" s="9" t="s">
        <v>424</v>
      </c>
      <c r="N218" s="9" t="s">
        <v>1459</v>
      </c>
    </row>
    <row r="219" customFormat="false" ht="15" hidden="false" customHeight="true" outlineLevel="0" collapsed="false">
      <c r="A219" s="9" t="n">
        <v>215</v>
      </c>
      <c r="B219" s="9" t="s">
        <v>1460</v>
      </c>
      <c r="C219" s="9" t="s">
        <v>1461</v>
      </c>
      <c r="D219" s="9" t="s">
        <v>816</v>
      </c>
      <c r="E219" s="9" t="s">
        <v>1462</v>
      </c>
      <c r="F219" s="9" t="s">
        <v>418</v>
      </c>
      <c r="G219" s="9" t="s">
        <v>1463</v>
      </c>
      <c r="H219" s="9" t="s">
        <v>1464</v>
      </c>
      <c r="I219" s="9" t="s">
        <v>421</v>
      </c>
      <c r="J219" s="9" t="s">
        <v>231</v>
      </c>
      <c r="K219" s="9" t="s">
        <v>1465</v>
      </c>
      <c r="L219" s="9" t="s">
        <v>1466</v>
      </c>
      <c r="M219" s="9" t="s">
        <v>424</v>
      </c>
      <c r="N219" s="9" t="s">
        <v>1467</v>
      </c>
    </row>
    <row r="220" customFormat="false" ht="15" hidden="false" customHeight="true" outlineLevel="0" collapsed="false">
      <c r="A220" s="9" t="n">
        <v>216</v>
      </c>
      <c r="B220" s="9" t="s">
        <v>1468</v>
      </c>
      <c r="C220" s="9" t="s">
        <v>1469</v>
      </c>
      <c r="D220" s="9" t="s">
        <v>816</v>
      </c>
      <c r="E220" s="9" t="s">
        <v>456</v>
      </c>
      <c r="F220" s="9" t="s">
        <v>418</v>
      </c>
      <c r="G220" s="9" t="s">
        <v>1470</v>
      </c>
      <c r="H220" s="9" t="s">
        <v>1471</v>
      </c>
      <c r="I220" s="9" t="s">
        <v>421</v>
      </c>
      <c r="J220" s="9" t="s">
        <v>231</v>
      </c>
      <c r="K220" s="9" t="s">
        <v>1472</v>
      </c>
      <c r="L220" s="9" t="s">
        <v>1473</v>
      </c>
      <c r="M220" s="9" t="s">
        <v>424</v>
      </c>
      <c r="N220" s="9" t="s">
        <v>1474</v>
      </c>
    </row>
    <row r="221" customFormat="false" ht="15" hidden="false" customHeight="true" outlineLevel="0" collapsed="false">
      <c r="A221" s="9" t="n">
        <v>217</v>
      </c>
      <c r="B221" s="9" t="s">
        <v>1475</v>
      </c>
      <c r="C221" s="9" t="s">
        <v>1476</v>
      </c>
      <c r="D221" s="9" t="s">
        <v>478</v>
      </c>
      <c r="E221" s="9" t="s">
        <v>1220</v>
      </c>
      <c r="F221" s="9" t="s">
        <v>418</v>
      </c>
      <c r="G221" s="9" t="s">
        <v>1477</v>
      </c>
      <c r="H221" s="9" t="s">
        <v>1478</v>
      </c>
      <c r="I221" s="9" t="s">
        <v>421</v>
      </c>
      <c r="J221" s="9" t="s">
        <v>231</v>
      </c>
      <c r="K221" s="9" t="s">
        <v>1479</v>
      </c>
      <c r="L221" s="9" t="s">
        <v>1480</v>
      </c>
      <c r="M221" s="9" t="s">
        <v>424</v>
      </c>
      <c r="N221" s="9" t="s">
        <v>1481</v>
      </c>
    </row>
    <row r="222" customFormat="false" ht="15" hidden="false" customHeight="true" outlineLevel="0" collapsed="false">
      <c r="A222" s="9" t="n">
        <v>218</v>
      </c>
      <c r="B222" s="9" t="s">
        <v>1482</v>
      </c>
      <c r="C222" s="9" t="s">
        <v>1483</v>
      </c>
      <c r="D222" s="9" t="s">
        <v>445</v>
      </c>
      <c r="E222" s="9" t="s">
        <v>456</v>
      </c>
      <c r="F222" s="9" t="s">
        <v>418</v>
      </c>
      <c r="G222" s="9" t="s">
        <v>1484</v>
      </c>
      <c r="H222" s="9" t="s">
        <v>1485</v>
      </c>
      <c r="I222" s="9" t="s">
        <v>421</v>
      </c>
      <c r="J222" s="9" t="s">
        <v>231</v>
      </c>
      <c r="K222" s="9" t="s">
        <v>1486</v>
      </c>
      <c r="L222" s="9" t="s">
        <v>1487</v>
      </c>
      <c r="M222" s="9" t="s">
        <v>424</v>
      </c>
      <c r="N222" s="9" t="s">
        <v>1488</v>
      </c>
    </row>
    <row r="223" customFormat="false" ht="15" hidden="false" customHeight="true" outlineLevel="0" collapsed="false">
      <c r="A223" s="9" t="n">
        <v>219</v>
      </c>
      <c r="B223" s="9" t="s">
        <v>1489</v>
      </c>
      <c r="C223" s="9" t="s">
        <v>1483</v>
      </c>
      <c r="D223" s="9" t="s">
        <v>445</v>
      </c>
      <c r="E223" s="9" t="s">
        <v>1388</v>
      </c>
      <c r="F223" s="9" t="s">
        <v>418</v>
      </c>
      <c r="G223" s="9" t="s">
        <v>1490</v>
      </c>
      <c r="H223" s="9" t="s">
        <v>1491</v>
      </c>
      <c r="I223" s="9" t="s">
        <v>421</v>
      </c>
      <c r="J223" s="9" t="s">
        <v>231</v>
      </c>
      <c r="K223" s="9" t="s">
        <v>1492</v>
      </c>
      <c r="L223" s="9" t="s">
        <v>1493</v>
      </c>
      <c r="M223" s="9" t="s">
        <v>424</v>
      </c>
      <c r="N223" s="9" t="s">
        <v>1494</v>
      </c>
    </row>
    <row r="224" customFormat="false" ht="15" hidden="false" customHeight="true" outlineLevel="0" collapsed="false">
      <c r="A224" s="9" t="n">
        <v>220</v>
      </c>
      <c r="B224" s="9" t="s">
        <v>1495</v>
      </c>
      <c r="C224" s="9" t="s">
        <v>1496</v>
      </c>
      <c r="D224" s="9" t="s">
        <v>440</v>
      </c>
      <c r="E224" s="9" t="s">
        <v>428</v>
      </c>
      <c r="F224" s="9" t="s">
        <v>418</v>
      </c>
      <c r="G224" s="9" t="s">
        <v>1497</v>
      </c>
      <c r="H224" s="9" t="s">
        <v>1498</v>
      </c>
      <c r="I224" s="9" t="s">
        <v>421</v>
      </c>
      <c r="J224" s="9" t="s">
        <v>231</v>
      </c>
      <c r="K224" s="9" t="s">
        <v>1499</v>
      </c>
      <c r="L224" s="9" t="s">
        <v>1500</v>
      </c>
      <c r="M224" s="9" t="s">
        <v>424</v>
      </c>
      <c r="N224" s="9" t="s">
        <v>1501</v>
      </c>
    </row>
    <row r="225" customFormat="false" ht="15" hidden="false" customHeight="true" outlineLevel="0" collapsed="false">
      <c r="A225" s="9" t="n">
        <v>221</v>
      </c>
      <c r="B225" s="9" t="s">
        <v>1502</v>
      </c>
      <c r="C225" s="9" t="s">
        <v>1503</v>
      </c>
      <c r="D225" s="9" t="s">
        <v>478</v>
      </c>
      <c r="E225" s="9" t="s">
        <v>446</v>
      </c>
      <c r="F225" s="9" t="s">
        <v>418</v>
      </c>
      <c r="G225" s="9" t="s">
        <v>1504</v>
      </c>
      <c r="H225" s="9" t="s">
        <v>1505</v>
      </c>
      <c r="I225" s="9" t="s">
        <v>421</v>
      </c>
      <c r="J225" s="9" t="s">
        <v>231</v>
      </c>
      <c r="K225" s="9" t="s">
        <v>1506</v>
      </c>
      <c r="L225" s="9" t="s">
        <v>1507</v>
      </c>
      <c r="M225" s="9" t="s">
        <v>424</v>
      </c>
      <c r="N225" s="9" t="s">
        <v>1508</v>
      </c>
    </row>
    <row r="226" customFormat="false" ht="15" hidden="false" customHeight="true" outlineLevel="0" collapsed="false">
      <c r="A226" s="9" t="n">
        <v>222</v>
      </c>
      <c r="B226" s="9" t="s">
        <v>1509</v>
      </c>
      <c r="C226" s="9" t="s">
        <v>1510</v>
      </c>
      <c r="D226" s="9" t="s">
        <v>816</v>
      </c>
      <c r="E226" s="9" t="s">
        <v>846</v>
      </c>
      <c r="F226" s="9" t="s">
        <v>418</v>
      </c>
      <c r="G226" s="9" t="s">
        <v>1511</v>
      </c>
      <c r="H226" s="9" t="s">
        <v>1512</v>
      </c>
      <c r="I226" s="9" t="s">
        <v>421</v>
      </c>
      <c r="J226" s="9" t="s">
        <v>231</v>
      </c>
      <c r="K226" s="9" t="s">
        <v>1513</v>
      </c>
      <c r="L226" s="9" t="s">
        <v>1514</v>
      </c>
      <c r="M226" s="9" t="s">
        <v>424</v>
      </c>
      <c r="N226" s="9" t="s">
        <v>1515</v>
      </c>
    </row>
    <row r="227" customFormat="false" ht="15" hidden="false" customHeight="true" outlineLevel="0" collapsed="false">
      <c r="A227" s="9" t="n">
        <v>223</v>
      </c>
      <c r="B227" s="9" t="s">
        <v>1516</v>
      </c>
      <c r="C227" s="9" t="s">
        <v>1517</v>
      </c>
      <c r="D227" s="9" t="s">
        <v>816</v>
      </c>
      <c r="E227" s="9" t="s">
        <v>1518</v>
      </c>
      <c r="F227" s="9" t="s">
        <v>418</v>
      </c>
      <c r="G227" s="9" t="s">
        <v>1519</v>
      </c>
      <c r="H227" s="9" t="s">
        <v>1520</v>
      </c>
      <c r="I227" s="9" t="s">
        <v>421</v>
      </c>
      <c r="J227" s="9" t="s">
        <v>231</v>
      </c>
      <c r="K227" s="9" t="s">
        <v>1521</v>
      </c>
      <c r="L227" s="9" t="s">
        <v>1522</v>
      </c>
      <c r="M227" s="9" t="s">
        <v>424</v>
      </c>
      <c r="N227" s="9" t="s">
        <v>1523</v>
      </c>
    </row>
    <row r="228" customFormat="false" ht="15" hidden="false" customHeight="true" outlineLevel="0" collapsed="false">
      <c r="A228" s="9" t="n">
        <v>224</v>
      </c>
      <c r="B228" s="9" t="s">
        <v>1524</v>
      </c>
      <c r="C228" s="9" t="s">
        <v>1525</v>
      </c>
      <c r="D228" s="9" t="s">
        <v>816</v>
      </c>
      <c r="E228" s="9" t="s">
        <v>861</v>
      </c>
      <c r="F228" s="9" t="s">
        <v>418</v>
      </c>
      <c r="G228" s="9" t="s">
        <v>1526</v>
      </c>
      <c r="H228" s="9" t="s">
        <v>1527</v>
      </c>
      <c r="I228" s="9" t="s">
        <v>421</v>
      </c>
      <c r="J228" s="9" t="s">
        <v>231</v>
      </c>
      <c r="K228" s="9" t="s">
        <v>1528</v>
      </c>
      <c r="L228" s="9" t="s">
        <v>1529</v>
      </c>
      <c r="M228" s="9" t="s">
        <v>424</v>
      </c>
      <c r="N228" s="9" t="s">
        <v>1530</v>
      </c>
    </row>
    <row r="229" customFormat="false" ht="15" hidden="false" customHeight="true" outlineLevel="0" collapsed="false">
      <c r="A229" s="9" t="n">
        <v>225</v>
      </c>
      <c r="B229" s="9" t="s">
        <v>1531</v>
      </c>
      <c r="C229" s="9" t="s">
        <v>1532</v>
      </c>
      <c r="D229" s="9" t="s">
        <v>478</v>
      </c>
      <c r="E229" s="9" t="s">
        <v>974</v>
      </c>
      <c r="F229" s="9" t="s">
        <v>418</v>
      </c>
      <c r="G229" s="9" t="s">
        <v>1533</v>
      </c>
      <c r="H229" s="9" t="s">
        <v>1534</v>
      </c>
      <c r="I229" s="9" t="s">
        <v>421</v>
      </c>
      <c r="J229" s="9" t="s">
        <v>231</v>
      </c>
      <c r="K229" s="9" t="s">
        <v>1535</v>
      </c>
      <c r="L229" s="9" t="s">
        <v>1536</v>
      </c>
      <c r="M229" s="9" t="s">
        <v>368</v>
      </c>
      <c r="N229" s="9" t="s">
        <v>1537</v>
      </c>
    </row>
    <row r="230" customFormat="false" ht="15" hidden="false" customHeight="true" outlineLevel="0" collapsed="false">
      <c r="A230" s="9" t="n">
        <v>226</v>
      </c>
      <c r="B230" s="9" t="s">
        <v>1538</v>
      </c>
      <c r="C230" s="9" t="s">
        <v>1539</v>
      </c>
      <c r="D230" s="9" t="s">
        <v>816</v>
      </c>
      <c r="E230" s="9" t="s">
        <v>876</v>
      </c>
      <c r="F230" s="9" t="s">
        <v>418</v>
      </c>
      <c r="G230" s="9" t="s">
        <v>1540</v>
      </c>
      <c r="H230" s="9" t="s">
        <v>1541</v>
      </c>
      <c r="I230" s="9" t="s">
        <v>421</v>
      </c>
      <c r="J230" s="9" t="s">
        <v>231</v>
      </c>
      <c r="K230" s="9" t="s">
        <v>1542</v>
      </c>
      <c r="L230" s="9" t="s">
        <v>1543</v>
      </c>
      <c r="M230" s="9" t="s">
        <v>424</v>
      </c>
      <c r="N230" s="9" t="s">
        <v>1544</v>
      </c>
    </row>
    <row r="231" customFormat="false" ht="15" hidden="false" customHeight="true" outlineLevel="0" collapsed="false">
      <c r="A231" s="9" t="n">
        <v>227</v>
      </c>
      <c r="B231" s="9" t="s">
        <v>1545</v>
      </c>
      <c r="C231" s="9" t="s">
        <v>1546</v>
      </c>
      <c r="D231" s="9" t="s">
        <v>478</v>
      </c>
      <c r="E231" s="9" t="s">
        <v>1547</v>
      </c>
      <c r="F231" s="9" t="s">
        <v>418</v>
      </c>
      <c r="G231" s="9" t="s">
        <v>1548</v>
      </c>
      <c r="H231" s="9" t="s">
        <v>1549</v>
      </c>
      <c r="I231" s="9" t="s">
        <v>421</v>
      </c>
      <c r="J231" s="9" t="s">
        <v>231</v>
      </c>
      <c r="K231" s="9" t="s">
        <v>1550</v>
      </c>
      <c r="L231" s="9" t="s">
        <v>1551</v>
      </c>
      <c r="M231" s="9" t="s">
        <v>424</v>
      </c>
      <c r="N231" s="9" t="s">
        <v>1552</v>
      </c>
    </row>
    <row r="232" customFormat="false" ht="15" hidden="false" customHeight="true" outlineLevel="0" collapsed="false">
      <c r="A232" s="9" t="n">
        <v>228</v>
      </c>
      <c r="B232" s="9" t="s">
        <v>1553</v>
      </c>
      <c r="C232" s="9" t="s">
        <v>1554</v>
      </c>
      <c r="D232" s="9" t="s">
        <v>434</v>
      </c>
      <c r="E232" s="9" t="s">
        <v>817</v>
      </c>
      <c r="F232" s="9" t="s">
        <v>418</v>
      </c>
      <c r="G232" s="9" t="s">
        <v>1555</v>
      </c>
      <c r="H232" s="9" t="s">
        <v>1556</v>
      </c>
      <c r="I232" s="9" t="s">
        <v>421</v>
      </c>
      <c r="J232" s="9" t="s">
        <v>231</v>
      </c>
      <c r="K232" s="9" t="s">
        <v>1557</v>
      </c>
      <c r="L232" s="9" t="s">
        <v>1558</v>
      </c>
      <c r="M232" s="9" t="s">
        <v>424</v>
      </c>
      <c r="N232" s="9" t="s">
        <v>1559</v>
      </c>
    </row>
    <row r="233" customFormat="false" ht="15" hidden="false" customHeight="true" outlineLevel="0" collapsed="false">
      <c r="A233" s="9" t="n">
        <v>229</v>
      </c>
      <c r="B233" s="9" t="s">
        <v>1560</v>
      </c>
      <c r="C233" s="9" t="s">
        <v>1561</v>
      </c>
      <c r="D233" s="9" t="s">
        <v>478</v>
      </c>
      <c r="E233" s="9" t="s">
        <v>861</v>
      </c>
      <c r="F233" s="9" t="s">
        <v>418</v>
      </c>
      <c r="G233" s="9" t="s">
        <v>1562</v>
      </c>
      <c r="H233" s="9" t="s">
        <v>1563</v>
      </c>
      <c r="I233" s="9" t="s">
        <v>421</v>
      </c>
      <c r="J233" s="9" t="s">
        <v>231</v>
      </c>
      <c r="K233" s="9" t="s">
        <v>1564</v>
      </c>
      <c r="L233" s="9" t="s">
        <v>1565</v>
      </c>
      <c r="M233" s="9" t="s">
        <v>424</v>
      </c>
      <c r="N233" s="9" t="s">
        <v>1566</v>
      </c>
    </row>
    <row r="234" customFormat="false" ht="15" hidden="false" customHeight="true" outlineLevel="0" collapsed="false">
      <c r="A234" s="9" t="n">
        <v>230</v>
      </c>
      <c r="B234" s="9" t="s">
        <v>1567</v>
      </c>
      <c r="C234" s="9" t="s">
        <v>1568</v>
      </c>
      <c r="D234" s="9" t="s">
        <v>452</v>
      </c>
      <c r="E234" s="9" t="s">
        <v>435</v>
      </c>
      <c r="F234" s="9" t="s">
        <v>418</v>
      </c>
      <c r="G234" s="9" t="s">
        <v>1569</v>
      </c>
      <c r="H234" s="9" t="s">
        <v>1355</v>
      </c>
      <c r="I234" s="9" t="s">
        <v>421</v>
      </c>
      <c r="J234" s="9" t="s">
        <v>231</v>
      </c>
      <c r="K234" s="9" t="s">
        <v>1570</v>
      </c>
      <c r="L234" s="9" t="s">
        <v>1571</v>
      </c>
      <c r="M234" s="9" t="s">
        <v>424</v>
      </c>
      <c r="N234" s="9" t="s">
        <v>1572</v>
      </c>
    </row>
    <row r="235" customFormat="false" ht="15" hidden="false" customHeight="true" outlineLevel="0" collapsed="false">
      <c r="A235" s="9" t="n">
        <v>231</v>
      </c>
      <c r="B235" s="9" t="s">
        <v>1573</v>
      </c>
      <c r="C235" s="9" t="s">
        <v>1574</v>
      </c>
      <c r="D235" s="9" t="s">
        <v>434</v>
      </c>
      <c r="E235" s="9" t="s">
        <v>479</v>
      </c>
      <c r="F235" s="9" t="s">
        <v>418</v>
      </c>
      <c r="G235" s="9" t="s">
        <v>1575</v>
      </c>
      <c r="H235" s="9" t="s">
        <v>1576</v>
      </c>
      <c r="I235" s="9" t="s">
        <v>421</v>
      </c>
      <c r="J235" s="9" t="s">
        <v>231</v>
      </c>
      <c r="K235" s="9" t="s">
        <v>1577</v>
      </c>
      <c r="L235" s="9" t="s">
        <v>1578</v>
      </c>
      <c r="M235" s="9" t="s">
        <v>424</v>
      </c>
      <c r="N235" s="9" t="s">
        <v>1579</v>
      </c>
    </row>
    <row r="236" customFormat="false" ht="15" hidden="false" customHeight="true" outlineLevel="0" collapsed="false">
      <c r="A236" s="9" t="n">
        <v>232</v>
      </c>
      <c r="B236" s="9" t="s">
        <v>1580</v>
      </c>
      <c r="C236" s="9" t="s">
        <v>1581</v>
      </c>
      <c r="D236" s="9" t="s">
        <v>478</v>
      </c>
      <c r="E236" s="9" t="s">
        <v>876</v>
      </c>
      <c r="F236" s="9" t="s">
        <v>418</v>
      </c>
      <c r="G236" s="9" t="s">
        <v>1582</v>
      </c>
      <c r="H236" s="9" t="s">
        <v>1583</v>
      </c>
      <c r="I236" s="9" t="s">
        <v>421</v>
      </c>
      <c r="J236" s="9" t="s">
        <v>231</v>
      </c>
      <c r="K236" s="9" t="s">
        <v>1584</v>
      </c>
      <c r="L236" s="9" t="s">
        <v>1585</v>
      </c>
      <c r="M236" s="9" t="s">
        <v>522</v>
      </c>
      <c r="N236" s="9" t="s">
        <v>1586</v>
      </c>
    </row>
    <row r="237" customFormat="false" ht="15" hidden="false" customHeight="true" outlineLevel="0" collapsed="false">
      <c r="A237" s="9" t="n">
        <v>233</v>
      </c>
      <c r="B237" s="9" t="s">
        <v>1587</v>
      </c>
      <c r="C237" s="9" t="s">
        <v>1588</v>
      </c>
      <c r="D237" s="9" t="s">
        <v>816</v>
      </c>
      <c r="E237" s="9" t="s">
        <v>1589</v>
      </c>
      <c r="F237" s="9" t="s">
        <v>418</v>
      </c>
      <c r="G237" s="9" t="s">
        <v>1590</v>
      </c>
      <c r="H237" s="9" t="s">
        <v>1591</v>
      </c>
      <c r="I237" s="9" t="s">
        <v>421</v>
      </c>
      <c r="J237" s="9" t="s">
        <v>231</v>
      </c>
      <c r="K237" s="9" t="s">
        <v>1592</v>
      </c>
      <c r="L237" s="9" t="s">
        <v>1593</v>
      </c>
      <c r="M237" s="9" t="s">
        <v>424</v>
      </c>
      <c r="N237" s="9" t="s">
        <v>1594</v>
      </c>
    </row>
    <row r="238" customFormat="false" ht="15" hidden="false" customHeight="true" outlineLevel="0" collapsed="false">
      <c r="A238" s="9" t="n">
        <v>234</v>
      </c>
      <c r="B238" s="9" t="s">
        <v>1595</v>
      </c>
      <c r="C238" s="9" t="s">
        <v>1596</v>
      </c>
      <c r="D238" s="9" t="s">
        <v>427</v>
      </c>
      <c r="E238" s="9" t="s">
        <v>876</v>
      </c>
      <c r="F238" s="9" t="s">
        <v>418</v>
      </c>
      <c r="G238" s="9" t="s">
        <v>1597</v>
      </c>
      <c r="H238" s="9" t="s">
        <v>1598</v>
      </c>
      <c r="I238" s="9" t="s">
        <v>421</v>
      </c>
      <c r="J238" s="9" t="s">
        <v>231</v>
      </c>
      <c r="K238" s="9" t="s">
        <v>1599</v>
      </c>
      <c r="L238" s="9" t="s">
        <v>1600</v>
      </c>
      <c r="M238" s="9" t="s">
        <v>424</v>
      </c>
      <c r="N238" s="9" t="s">
        <v>1601</v>
      </c>
    </row>
    <row r="239" customFormat="false" ht="15" hidden="false" customHeight="true" outlineLevel="0" collapsed="false">
      <c r="A239" s="9" t="n">
        <v>235</v>
      </c>
      <c r="B239" s="9" t="s">
        <v>1602</v>
      </c>
      <c r="C239" s="9" t="s">
        <v>203</v>
      </c>
      <c r="D239" s="9" t="s">
        <v>445</v>
      </c>
      <c r="E239" s="9" t="s">
        <v>1603</v>
      </c>
      <c r="F239" s="9" t="s">
        <v>418</v>
      </c>
      <c r="G239" s="9" t="s">
        <v>1604</v>
      </c>
      <c r="H239" s="9" t="s">
        <v>1605</v>
      </c>
      <c r="I239" s="9" t="s">
        <v>421</v>
      </c>
      <c r="J239" s="9" t="s">
        <v>231</v>
      </c>
      <c r="K239" s="9" t="s">
        <v>1606</v>
      </c>
      <c r="L239" s="9" t="s">
        <v>1607</v>
      </c>
      <c r="M239" s="9" t="s">
        <v>424</v>
      </c>
      <c r="N239" s="9" t="s">
        <v>1608</v>
      </c>
    </row>
    <row r="240" customFormat="false" ht="15" hidden="false" customHeight="true" outlineLevel="0" collapsed="false">
      <c r="A240" s="9" t="n">
        <v>236</v>
      </c>
      <c r="B240" s="9" t="s">
        <v>1609</v>
      </c>
      <c r="C240" s="9" t="s">
        <v>1610</v>
      </c>
      <c r="D240" s="9" t="s">
        <v>445</v>
      </c>
      <c r="E240" s="9" t="s">
        <v>1611</v>
      </c>
      <c r="F240" s="9" t="s">
        <v>418</v>
      </c>
      <c r="G240" s="9" t="s">
        <v>1612</v>
      </c>
      <c r="H240" s="9" t="s">
        <v>1613</v>
      </c>
      <c r="I240" s="9" t="s">
        <v>421</v>
      </c>
      <c r="J240" s="9" t="s">
        <v>231</v>
      </c>
      <c r="K240" s="9" t="s">
        <v>1614</v>
      </c>
      <c r="L240" s="9" t="s">
        <v>1615</v>
      </c>
      <c r="M240" s="9" t="s">
        <v>424</v>
      </c>
      <c r="N240" s="9" t="s">
        <v>1616</v>
      </c>
    </row>
    <row r="241" customFormat="false" ht="15" hidden="false" customHeight="true" outlineLevel="0" collapsed="false">
      <c r="A241" s="9" t="n">
        <v>237</v>
      </c>
      <c r="B241" s="9" t="s">
        <v>1617</v>
      </c>
      <c r="C241" s="9" t="s">
        <v>1618</v>
      </c>
      <c r="D241" s="9" t="s">
        <v>445</v>
      </c>
      <c r="E241" s="9" t="s">
        <v>1619</v>
      </c>
      <c r="F241" s="9" t="s">
        <v>418</v>
      </c>
      <c r="G241" s="9" t="s">
        <v>1620</v>
      </c>
      <c r="H241" s="9" t="s">
        <v>1621</v>
      </c>
      <c r="I241" s="9" t="s">
        <v>421</v>
      </c>
      <c r="J241" s="9" t="s">
        <v>231</v>
      </c>
      <c r="K241" s="9" t="s">
        <v>1622</v>
      </c>
      <c r="L241" s="9" t="s">
        <v>1623</v>
      </c>
      <c r="M241" s="9" t="s">
        <v>424</v>
      </c>
      <c r="N241" s="9" t="s">
        <v>1624</v>
      </c>
    </row>
    <row r="242" customFormat="false" ht="15" hidden="false" customHeight="true" outlineLevel="0" collapsed="false">
      <c r="A242" s="9" t="n">
        <v>238</v>
      </c>
      <c r="B242" s="9" t="s">
        <v>1625</v>
      </c>
      <c r="C242" s="9" t="s">
        <v>1626</v>
      </c>
      <c r="D242" s="9" t="s">
        <v>816</v>
      </c>
      <c r="E242" s="9" t="s">
        <v>1627</v>
      </c>
      <c r="F242" s="9" t="s">
        <v>418</v>
      </c>
      <c r="G242" s="9" t="s">
        <v>1628</v>
      </c>
      <c r="H242" s="9" t="s">
        <v>1629</v>
      </c>
      <c r="I242" s="9" t="s">
        <v>421</v>
      </c>
      <c r="J242" s="9" t="s">
        <v>231</v>
      </c>
      <c r="K242" s="9" t="s">
        <v>1630</v>
      </c>
      <c r="L242" s="9" t="s">
        <v>1631</v>
      </c>
      <c r="M242" s="9" t="s">
        <v>424</v>
      </c>
      <c r="N242" s="9" t="s">
        <v>1632</v>
      </c>
    </row>
    <row r="243" customFormat="false" ht="15" hidden="false" customHeight="true" outlineLevel="0" collapsed="false">
      <c r="A243" s="9" t="n">
        <v>239</v>
      </c>
      <c r="B243" s="9" t="s">
        <v>1633</v>
      </c>
      <c r="C243" s="9" t="s">
        <v>1634</v>
      </c>
      <c r="D243" s="9" t="s">
        <v>452</v>
      </c>
      <c r="E243" s="9" t="s">
        <v>1518</v>
      </c>
      <c r="F243" s="9" t="s">
        <v>418</v>
      </c>
      <c r="G243" s="9" t="s">
        <v>1635</v>
      </c>
      <c r="H243" s="9" t="s">
        <v>1636</v>
      </c>
      <c r="I243" s="9" t="s">
        <v>421</v>
      </c>
      <c r="J243" s="9" t="s">
        <v>231</v>
      </c>
      <c r="K243" s="9" t="s">
        <v>1637</v>
      </c>
      <c r="L243" s="9" t="s">
        <v>1638</v>
      </c>
      <c r="M243" s="9" t="s">
        <v>424</v>
      </c>
      <c r="N243" s="9" t="s">
        <v>1639</v>
      </c>
    </row>
    <row r="244" customFormat="false" ht="15" hidden="false" customHeight="true" outlineLevel="0" collapsed="false">
      <c r="A244" s="9" t="n">
        <v>240</v>
      </c>
      <c r="B244" s="9" t="s">
        <v>1640</v>
      </c>
      <c r="C244" s="9" t="s">
        <v>48</v>
      </c>
      <c r="D244" s="9" t="s">
        <v>452</v>
      </c>
      <c r="E244" s="9" t="s">
        <v>157</v>
      </c>
      <c r="F244" s="9" t="s">
        <v>418</v>
      </c>
      <c r="G244" s="9" t="s">
        <v>1641</v>
      </c>
      <c r="H244" s="9" t="s">
        <v>1642</v>
      </c>
      <c r="I244" s="9" t="s">
        <v>421</v>
      </c>
      <c r="J244" s="9" t="s">
        <v>231</v>
      </c>
      <c r="K244" s="9" t="s">
        <v>1643</v>
      </c>
      <c r="L244" s="9" t="s">
        <v>1644</v>
      </c>
      <c r="M244" s="9" t="s">
        <v>424</v>
      </c>
      <c r="N244" s="9" t="s">
        <v>1645</v>
      </c>
    </row>
    <row r="245" customFormat="false" ht="15" hidden="false" customHeight="true" outlineLevel="0" collapsed="false">
      <c r="A245" s="9" t="n">
        <v>241</v>
      </c>
      <c r="B245" s="9" t="s">
        <v>1646</v>
      </c>
      <c r="C245" s="9" t="s">
        <v>1647</v>
      </c>
      <c r="D245" s="9" t="s">
        <v>478</v>
      </c>
      <c r="E245" s="9" t="s">
        <v>846</v>
      </c>
      <c r="F245" s="9" t="s">
        <v>418</v>
      </c>
      <c r="G245" s="9" t="s">
        <v>1648</v>
      </c>
      <c r="H245" s="9" t="s">
        <v>1649</v>
      </c>
      <c r="I245" s="9" t="s">
        <v>421</v>
      </c>
      <c r="J245" s="9" t="s">
        <v>231</v>
      </c>
      <c r="K245" s="9" t="s">
        <v>1650</v>
      </c>
      <c r="L245" s="9" t="s">
        <v>1651</v>
      </c>
      <c r="M245" s="9" t="s">
        <v>424</v>
      </c>
      <c r="N245" s="9" t="s">
        <v>1652</v>
      </c>
    </row>
    <row r="246" customFormat="false" ht="15" hidden="false" customHeight="true" outlineLevel="0" collapsed="false">
      <c r="A246" s="9" t="n">
        <v>242</v>
      </c>
      <c r="B246" s="9" t="s">
        <v>1653</v>
      </c>
      <c r="C246" s="9" t="s">
        <v>1654</v>
      </c>
      <c r="D246" s="9" t="s">
        <v>816</v>
      </c>
      <c r="E246" s="9" t="s">
        <v>817</v>
      </c>
      <c r="F246" s="9" t="s">
        <v>418</v>
      </c>
      <c r="G246" s="9" t="s">
        <v>1655</v>
      </c>
      <c r="H246" s="9" t="s">
        <v>1656</v>
      </c>
      <c r="I246" s="9" t="s">
        <v>421</v>
      </c>
      <c r="J246" s="9" t="s">
        <v>231</v>
      </c>
      <c r="K246" s="9" t="s">
        <v>1657</v>
      </c>
      <c r="L246" s="9" t="s">
        <v>1658</v>
      </c>
      <c r="M246" s="9" t="s">
        <v>424</v>
      </c>
      <c r="N246" s="9" t="s">
        <v>1659</v>
      </c>
    </row>
    <row r="247" customFormat="false" ht="15" hidden="false" customHeight="true" outlineLevel="0" collapsed="false">
      <c r="A247" s="9" t="n">
        <v>243</v>
      </c>
      <c r="B247" s="9" t="s">
        <v>1660</v>
      </c>
      <c r="C247" s="9" t="s">
        <v>1661</v>
      </c>
      <c r="D247" s="9" t="s">
        <v>434</v>
      </c>
      <c r="E247" s="9" t="s">
        <v>876</v>
      </c>
      <c r="F247" s="9" t="s">
        <v>418</v>
      </c>
      <c r="G247" s="9" t="s">
        <v>1662</v>
      </c>
      <c r="H247" s="9" t="s">
        <v>1663</v>
      </c>
      <c r="I247" s="9" t="s">
        <v>421</v>
      </c>
      <c r="J247" s="9" t="s">
        <v>231</v>
      </c>
      <c r="K247" s="9" t="s">
        <v>1664</v>
      </c>
      <c r="L247" s="9" t="s">
        <v>1665</v>
      </c>
      <c r="M247" s="9" t="s">
        <v>424</v>
      </c>
      <c r="N247" s="9" t="s">
        <v>1666</v>
      </c>
    </row>
    <row r="248" customFormat="false" ht="15" hidden="false" customHeight="true" outlineLevel="0" collapsed="false">
      <c r="A248" s="9" t="n">
        <v>244</v>
      </c>
      <c r="B248" s="9" t="s">
        <v>1667</v>
      </c>
      <c r="C248" s="9" t="s">
        <v>1668</v>
      </c>
      <c r="D248" s="9" t="s">
        <v>445</v>
      </c>
      <c r="E248" s="9" t="s">
        <v>1669</v>
      </c>
      <c r="F248" s="9" t="s">
        <v>418</v>
      </c>
      <c r="G248" s="9" t="s">
        <v>1670</v>
      </c>
      <c r="H248" s="9" t="s">
        <v>1671</v>
      </c>
      <c r="I248" s="9" t="s">
        <v>421</v>
      </c>
      <c r="J248" s="9" t="s">
        <v>231</v>
      </c>
      <c r="K248" s="9" t="s">
        <v>1672</v>
      </c>
      <c r="L248" s="9" t="s">
        <v>1673</v>
      </c>
      <c r="M248" s="9" t="s">
        <v>424</v>
      </c>
      <c r="N248" s="9" t="s">
        <v>1674</v>
      </c>
    </row>
    <row r="249" customFormat="false" ht="15" hidden="false" customHeight="true" outlineLevel="0" collapsed="false">
      <c r="A249" s="9" t="n">
        <v>245</v>
      </c>
      <c r="B249" s="9" t="s">
        <v>1675</v>
      </c>
      <c r="C249" s="9" t="s">
        <v>1676</v>
      </c>
      <c r="D249" s="9" t="s">
        <v>445</v>
      </c>
      <c r="E249" s="9" t="s">
        <v>1669</v>
      </c>
      <c r="F249" s="9" t="s">
        <v>418</v>
      </c>
      <c r="G249" s="9" t="s">
        <v>1677</v>
      </c>
      <c r="H249" s="9" t="s">
        <v>1678</v>
      </c>
      <c r="I249" s="9" t="s">
        <v>421</v>
      </c>
      <c r="J249" s="9" t="s">
        <v>231</v>
      </c>
      <c r="K249" s="9" t="s">
        <v>1679</v>
      </c>
      <c r="L249" s="9" t="s">
        <v>1680</v>
      </c>
      <c r="M249" s="9" t="s">
        <v>424</v>
      </c>
      <c r="N249" s="9" t="s">
        <v>1681</v>
      </c>
    </row>
    <row r="250" customFormat="false" ht="15" hidden="false" customHeight="true" outlineLevel="0" collapsed="false">
      <c r="A250" s="9" t="n">
        <v>246</v>
      </c>
      <c r="B250" s="9" t="s">
        <v>1682</v>
      </c>
      <c r="C250" s="9" t="s">
        <v>1683</v>
      </c>
      <c r="D250" s="9" t="s">
        <v>427</v>
      </c>
      <c r="E250" s="9" t="s">
        <v>846</v>
      </c>
      <c r="F250" s="9" t="s">
        <v>418</v>
      </c>
      <c r="G250" s="9" t="s">
        <v>1684</v>
      </c>
      <c r="H250" s="9" t="s">
        <v>1685</v>
      </c>
      <c r="I250" s="9" t="s">
        <v>421</v>
      </c>
      <c r="J250" s="9" t="s">
        <v>231</v>
      </c>
      <c r="K250" s="9" t="s">
        <v>1686</v>
      </c>
      <c r="L250" s="9" t="s">
        <v>1687</v>
      </c>
      <c r="M250" s="9" t="s">
        <v>424</v>
      </c>
      <c r="N250" s="9" t="s">
        <v>1688</v>
      </c>
    </row>
    <row r="251" customFormat="false" ht="15" hidden="false" customHeight="true" outlineLevel="0" collapsed="false">
      <c r="A251" s="9" t="n">
        <v>247</v>
      </c>
      <c r="B251" s="9" t="s">
        <v>1689</v>
      </c>
      <c r="C251" s="9" t="s">
        <v>1683</v>
      </c>
      <c r="D251" s="9" t="s">
        <v>427</v>
      </c>
      <c r="E251" s="9" t="s">
        <v>974</v>
      </c>
      <c r="F251" s="9" t="s">
        <v>418</v>
      </c>
      <c r="G251" s="9" t="s">
        <v>1690</v>
      </c>
      <c r="H251" s="9" t="s">
        <v>1691</v>
      </c>
      <c r="I251" s="9" t="s">
        <v>421</v>
      </c>
      <c r="J251" s="9" t="s">
        <v>231</v>
      </c>
      <c r="K251" s="9" t="s">
        <v>1692</v>
      </c>
      <c r="L251" s="9" t="s">
        <v>1693</v>
      </c>
      <c r="M251" s="9" t="s">
        <v>424</v>
      </c>
      <c r="N251" s="9" t="s">
        <v>1694</v>
      </c>
    </row>
    <row r="252" customFormat="false" ht="15" hidden="false" customHeight="true" outlineLevel="0" collapsed="false">
      <c r="A252" s="9" t="n">
        <v>248</v>
      </c>
      <c r="B252" s="9" t="s">
        <v>1695</v>
      </c>
      <c r="C252" s="9" t="s">
        <v>1696</v>
      </c>
      <c r="D252" s="9" t="s">
        <v>816</v>
      </c>
      <c r="E252" s="9" t="s">
        <v>1697</v>
      </c>
      <c r="F252" s="9" t="s">
        <v>418</v>
      </c>
      <c r="G252" s="9" t="s">
        <v>1698</v>
      </c>
      <c r="H252" s="9" t="s">
        <v>1699</v>
      </c>
      <c r="I252" s="9" t="s">
        <v>421</v>
      </c>
      <c r="J252" s="9" t="s">
        <v>231</v>
      </c>
      <c r="K252" s="9" t="s">
        <v>1700</v>
      </c>
      <c r="L252" s="9" t="s">
        <v>1701</v>
      </c>
      <c r="M252" s="9" t="s">
        <v>424</v>
      </c>
      <c r="N252" s="9" t="s">
        <v>1702</v>
      </c>
    </row>
    <row r="253" customFormat="false" ht="15" hidden="false" customHeight="true" outlineLevel="0" collapsed="false">
      <c r="A253" s="9" t="n">
        <v>249</v>
      </c>
      <c r="B253" s="9" t="s">
        <v>1703</v>
      </c>
      <c r="C253" s="9" t="s">
        <v>1704</v>
      </c>
      <c r="D253" s="9" t="s">
        <v>478</v>
      </c>
      <c r="E253" s="9" t="s">
        <v>846</v>
      </c>
      <c r="F253" s="9" t="s">
        <v>418</v>
      </c>
      <c r="G253" s="9" t="s">
        <v>1705</v>
      </c>
      <c r="H253" s="9" t="s">
        <v>1706</v>
      </c>
      <c r="I253" s="9" t="s">
        <v>421</v>
      </c>
      <c r="J253" s="9" t="s">
        <v>231</v>
      </c>
      <c r="K253" s="9" t="s">
        <v>1707</v>
      </c>
      <c r="L253" s="9" t="s">
        <v>1708</v>
      </c>
      <c r="M253" s="9" t="s">
        <v>424</v>
      </c>
      <c r="N253" s="9" t="s">
        <v>1709</v>
      </c>
    </row>
    <row r="254" customFormat="false" ht="15" hidden="false" customHeight="true" outlineLevel="0" collapsed="false">
      <c r="A254" s="9" t="n">
        <v>250</v>
      </c>
      <c r="B254" s="9" t="s">
        <v>1710</v>
      </c>
      <c r="C254" s="9" t="s">
        <v>1711</v>
      </c>
      <c r="D254" s="9" t="s">
        <v>427</v>
      </c>
      <c r="E254" s="9" t="s">
        <v>456</v>
      </c>
      <c r="F254" s="9" t="s">
        <v>418</v>
      </c>
      <c r="G254" s="9" t="s">
        <v>1712</v>
      </c>
      <c r="H254" s="9" t="s">
        <v>1713</v>
      </c>
      <c r="I254" s="9" t="s">
        <v>421</v>
      </c>
      <c r="J254" s="9" t="s">
        <v>231</v>
      </c>
      <c r="K254" s="9" t="s">
        <v>1714</v>
      </c>
      <c r="L254" s="9" t="s">
        <v>1715</v>
      </c>
      <c r="M254" s="9" t="s">
        <v>424</v>
      </c>
      <c r="N254" s="9" t="s">
        <v>1716</v>
      </c>
    </row>
    <row r="255" customFormat="false" ht="15" hidden="false" customHeight="true" outlineLevel="0" collapsed="false">
      <c r="A255" s="9" t="n">
        <v>251</v>
      </c>
      <c r="B255" s="9" t="s">
        <v>1717</v>
      </c>
      <c r="C255" s="9" t="s">
        <v>1718</v>
      </c>
      <c r="D255" s="9" t="s">
        <v>427</v>
      </c>
      <c r="E255" s="9" t="s">
        <v>876</v>
      </c>
      <c r="F255" s="9" t="s">
        <v>418</v>
      </c>
      <c r="G255" s="9" t="s">
        <v>1719</v>
      </c>
      <c r="H255" s="9" t="s">
        <v>1720</v>
      </c>
      <c r="I255" s="9" t="s">
        <v>421</v>
      </c>
      <c r="J255" s="9" t="s">
        <v>231</v>
      </c>
      <c r="K255" s="9" t="s">
        <v>1721</v>
      </c>
      <c r="L255" s="9" t="s">
        <v>1722</v>
      </c>
      <c r="M255" s="9" t="s">
        <v>424</v>
      </c>
      <c r="N255" s="9" t="s">
        <v>1723</v>
      </c>
    </row>
    <row r="256" customFormat="false" ht="15" hidden="false" customHeight="true" outlineLevel="0" collapsed="false">
      <c r="A256" s="9" t="n">
        <v>252</v>
      </c>
      <c r="B256" s="9" t="s">
        <v>1724</v>
      </c>
      <c r="C256" s="9" t="s">
        <v>1725</v>
      </c>
      <c r="D256" s="9" t="s">
        <v>445</v>
      </c>
      <c r="E256" s="9" t="s">
        <v>1726</v>
      </c>
      <c r="F256" s="9" t="s">
        <v>418</v>
      </c>
      <c r="G256" s="9" t="s">
        <v>1727</v>
      </c>
      <c r="H256" s="9" t="s">
        <v>1728</v>
      </c>
      <c r="I256" s="9" t="s">
        <v>421</v>
      </c>
      <c r="J256" s="9" t="s">
        <v>231</v>
      </c>
      <c r="K256" s="9" t="s">
        <v>1729</v>
      </c>
      <c r="L256" s="9" t="s">
        <v>1730</v>
      </c>
      <c r="M256" s="9" t="s">
        <v>424</v>
      </c>
      <c r="N256" s="9" t="s">
        <v>1731</v>
      </c>
    </row>
    <row r="257" customFormat="false" ht="15" hidden="false" customHeight="true" outlineLevel="0" collapsed="false">
      <c r="A257" s="9" t="n">
        <v>253</v>
      </c>
      <c r="B257" s="9" t="s">
        <v>1732</v>
      </c>
      <c r="C257" s="9" t="s">
        <v>1733</v>
      </c>
      <c r="D257" s="9" t="s">
        <v>445</v>
      </c>
      <c r="E257" s="9" t="s">
        <v>1726</v>
      </c>
      <c r="F257" s="9" t="s">
        <v>418</v>
      </c>
      <c r="G257" s="9" t="s">
        <v>1734</v>
      </c>
      <c r="H257" s="9" t="s">
        <v>1735</v>
      </c>
      <c r="I257" s="9" t="s">
        <v>421</v>
      </c>
      <c r="J257" s="9" t="s">
        <v>231</v>
      </c>
      <c r="K257" s="9" t="s">
        <v>1736</v>
      </c>
      <c r="L257" s="9" t="s">
        <v>1737</v>
      </c>
      <c r="M257" s="9" t="s">
        <v>424</v>
      </c>
      <c r="N257" s="9" t="s">
        <v>1738</v>
      </c>
    </row>
    <row r="258" customFormat="false" ht="15" hidden="false" customHeight="true" outlineLevel="0" collapsed="false">
      <c r="A258" s="9" t="n">
        <v>254</v>
      </c>
      <c r="B258" s="9" t="s">
        <v>1739</v>
      </c>
      <c r="C258" s="9" t="s">
        <v>1740</v>
      </c>
      <c r="D258" s="9" t="s">
        <v>452</v>
      </c>
      <c r="E258" s="9" t="s">
        <v>1741</v>
      </c>
      <c r="F258" s="9" t="s">
        <v>418</v>
      </c>
      <c r="G258" s="9" t="s">
        <v>1742</v>
      </c>
      <c r="H258" s="9" t="s">
        <v>1743</v>
      </c>
      <c r="I258" s="9" t="s">
        <v>421</v>
      </c>
      <c r="J258" s="9" t="s">
        <v>231</v>
      </c>
      <c r="K258" s="9" t="s">
        <v>1744</v>
      </c>
      <c r="L258" s="9" t="s">
        <v>1745</v>
      </c>
      <c r="M258" s="9" t="s">
        <v>424</v>
      </c>
      <c r="N258" s="9" t="s">
        <v>1746</v>
      </c>
    </row>
    <row r="259" customFormat="false" ht="15" hidden="false" customHeight="true" outlineLevel="0" collapsed="false">
      <c r="A259" s="9" t="n">
        <v>255</v>
      </c>
      <c r="B259" s="9" t="s">
        <v>1747</v>
      </c>
      <c r="C259" s="9" t="s">
        <v>1683</v>
      </c>
      <c r="D259" s="9" t="s">
        <v>452</v>
      </c>
      <c r="E259" s="9" t="s">
        <v>1748</v>
      </c>
      <c r="F259" s="9" t="s">
        <v>418</v>
      </c>
      <c r="G259" s="9" t="s">
        <v>1749</v>
      </c>
      <c r="H259" s="9" t="s">
        <v>1750</v>
      </c>
      <c r="I259" s="9" t="s">
        <v>421</v>
      </c>
      <c r="J259" s="9" t="s">
        <v>231</v>
      </c>
      <c r="K259" s="9" t="s">
        <v>1751</v>
      </c>
      <c r="L259" s="9" t="s">
        <v>1752</v>
      </c>
      <c r="M259" s="9" t="s">
        <v>424</v>
      </c>
      <c r="N259" s="9" t="s">
        <v>1753</v>
      </c>
    </row>
    <row r="260" customFormat="false" ht="15" hidden="false" customHeight="true" outlineLevel="0" collapsed="false">
      <c r="A260" s="9" t="n">
        <v>256</v>
      </c>
      <c r="B260" s="9" t="s">
        <v>1754</v>
      </c>
      <c r="C260" s="9" t="s">
        <v>1755</v>
      </c>
      <c r="D260" s="9" t="s">
        <v>478</v>
      </c>
      <c r="E260" s="9" t="s">
        <v>876</v>
      </c>
      <c r="F260" s="9" t="s">
        <v>418</v>
      </c>
      <c r="G260" s="9" t="s">
        <v>1756</v>
      </c>
      <c r="H260" s="9" t="s">
        <v>1757</v>
      </c>
      <c r="I260" s="9" t="s">
        <v>421</v>
      </c>
      <c r="J260" s="9" t="s">
        <v>231</v>
      </c>
      <c r="K260" s="9" t="s">
        <v>1758</v>
      </c>
      <c r="L260" s="9" t="s">
        <v>1759</v>
      </c>
      <c r="M260" s="9" t="s">
        <v>424</v>
      </c>
      <c r="N260" s="9" t="s">
        <v>1760</v>
      </c>
    </row>
    <row r="261" customFormat="false" ht="15" hidden="false" customHeight="true" outlineLevel="0" collapsed="false">
      <c r="A261" s="9" t="n">
        <v>257</v>
      </c>
      <c r="B261" s="9" t="s">
        <v>1761</v>
      </c>
      <c r="C261" s="9" t="s">
        <v>1762</v>
      </c>
      <c r="D261" s="9" t="s">
        <v>445</v>
      </c>
      <c r="E261" s="9" t="s">
        <v>1763</v>
      </c>
      <c r="F261" s="9" t="s">
        <v>418</v>
      </c>
      <c r="G261" s="9" t="s">
        <v>1764</v>
      </c>
      <c r="H261" s="9" t="s">
        <v>1765</v>
      </c>
      <c r="I261" s="9" t="s">
        <v>421</v>
      </c>
      <c r="J261" s="9" t="s">
        <v>231</v>
      </c>
      <c r="K261" s="9" t="s">
        <v>1766</v>
      </c>
      <c r="L261" s="9" t="s">
        <v>1767</v>
      </c>
      <c r="M261" s="9" t="s">
        <v>424</v>
      </c>
      <c r="N261" s="9" t="s">
        <v>1768</v>
      </c>
    </row>
    <row r="262" customFormat="false" ht="15" hidden="false" customHeight="true" outlineLevel="0" collapsed="false">
      <c r="A262" s="9" t="n">
        <v>258</v>
      </c>
      <c r="B262" s="9" t="s">
        <v>1769</v>
      </c>
      <c r="C262" s="9" t="s">
        <v>1770</v>
      </c>
      <c r="D262" s="9" t="s">
        <v>445</v>
      </c>
      <c r="E262" s="9" t="s">
        <v>1771</v>
      </c>
      <c r="F262" s="9" t="s">
        <v>418</v>
      </c>
      <c r="G262" s="9" t="s">
        <v>1772</v>
      </c>
      <c r="H262" s="9" t="s">
        <v>1773</v>
      </c>
      <c r="I262" s="9" t="s">
        <v>421</v>
      </c>
      <c r="J262" s="9" t="s">
        <v>231</v>
      </c>
      <c r="K262" s="9" t="s">
        <v>1774</v>
      </c>
      <c r="L262" s="9" t="s">
        <v>1775</v>
      </c>
      <c r="M262" s="9" t="s">
        <v>424</v>
      </c>
      <c r="N262" s="9" t="s">
        <v>1776</v>
      </c>
    </row>
    <row r="263" customFormat="false" ht="15" hidden="false" customHeight="true" outlineLevel="0" collapsed="false">
      <c r="A263" s="9" t="n">
        <v>259</v>
      </c>
      <c r="B263" s="9" t="s">
        <v>1777</v>
      </c>
      <c r="C263" s="9" t="s">
        <v>1778</v>
      </c>
      <c r="D263" s="9" t="s">
        <v>445</v>
      </c>
      <c r="E263" s="9" t="s">
        <v>1779</v>
      </c>
      <c r="F263" s="9" t="s">
        <v>418</v>
      </c>
      <c r="G263" s="9" t="s">
        <v>1780</v>
      </c>
      <c r="H263" s="9" t="s">
        <v>1781</v>
      </c>
      <c r="I263" s="9" t="s">
        <v>421</v>
      </c>
      <c r="J263" s="9" t="s">
        <v>231</v>
      </c>
      <c r="K263" s="9" t="s">
        <v>1782</v>
      </c>
      <c r="L263" s="9" t="s">
        <v>1783</v>
      </c>
      <c r="M263" s="9" t="s">
        <v>424</v>
      </c>
      <c r="N263" s="9" t="s">
        <v>1784</v>
      </c>
    </row>
    <row r="264" customFormat="false" ht="15" hidden="false" customHeight="true" outlineLevel="0" collapsed="false">
      <c r="A264" s="9" t="n">
        <v>260</v>
      </c>
      <c r="B264" s="9" t="s">
        <v>1785</v>
      </c>
      <c r="C264" s="9" t="s">
        <v>1786</v>
      </c>
      <c r="D264" s="9" t="s">
        <v>816</v>
      </c>
      <c r="E264" s="9" t="s">
        <v>846</v>
      </c>
      <c r="F264" s="9" t="s">
        <v>418</v>
      </c>
      <c r="G264" s="9" t="s">
        <v>1787</v>
      </c>
      <c r="H264" s="9" t="s">
        <v>1788</v>
      </c>
      <c r="I264" s="9" t="s">
        <v>421</v>
      </c>
      <c r="J264" s="9" t="s">
        <v>231</v>
      </c>
      <c r="K264" s="9" t="s">
        <v>1789</v>
      </c>
      <c r="L264" s="9" t="s">
        <v>1790</v>
      </c>
      <c r="M264" s="9" t="s">
        <v>424</v>
      </c>
      <c r="N264" s="9" t="s">
        <v>1791</v>
      </c>
    </row>
    <row r="265" customFormat="false" ht="15" hidden="false" customHeight="true" outlineLevel="0" collapsed="false">
      <c r="A265" s="9" t="n">
        <v>261</v>
      </c>
      <c r="B265" s="9" t="s">
        <v>1792</v>
      </c>
      <c r="C265" s="9" t="s">
        <v>1793</v>
      </c>
      <c r="D265" s="9" t="s">
        <v>816</v>
      </c>
      <c r="E265" s="9" t="s">
        <v>974</v>
      </c>
      <c r="F265" s="9" t="s">
        <v>418</v>
      </c>
      <c r="G265" s="9" t="s">
        <v>1794</v>
      </c>
      <c r="H265" s="9" t="s">
        <v>1795</v>
      </c>
      <c r="I265" s="9" t="s">
        <v>421</v>
      </c>
      <c r="J265" s="9" t="s">
        <v>231</v>
      </c>
      <c r="K265" s="9" t="s">
        <v>1796</v>
      </c>
      <c r="L265" s="9" t="s">
        <v>1797</v>
      </c>
      <c r="M265" s="9" t="s">
        <v>424</v>
      </c>
      <c r="N265" s="9" t="s">
        <v>1798</v>
      </c>
    </row>
    <row r="266" customFormat="false" ht="15" hidden="false" customHeight="true" outlineLevel="0" collapsed="false">
      <c r="A266" s="9" t="n">
        <v>262</v>
      </c>
      <c r="B266" s="9" t="s">
        <v>1799</v>
      </c>
      <c r="C266" s="9" t="s">
        <v>1800</v>
      </c>
      <c r="D266" s="9" t="s">
        <v>434</v>
      </c>
      <c r="E266" s="9" t="s">
        <v>876</v>
      </c>
      <c r="F266" s="9" t="s">
        <v>418</v>
      </c>
      <c r="G266" s="9" t="s">
        <v>1801</v>
      </c>
      <c r="H266" s="9" t="s">
        <v>1802</v>
      </c>
      <c r="I266" s="9" t="s">
        <v>421</v>
      </c>
      <c r="J266" s="9" t="s">
        <v>231</v>
      </c>
      <c r="K266" s="9" t="s">
        <v>1803</v>
      </c>
      <c r="L266" s="9" t="s">
        <v>1804</v>
      </c>
      <c r="M266" s="9" t="s">
        <v>424</v>
      </c>
      <c r="N266" s="9" t="s">
        <v>1805</v>
      </c>
    </row>
    <row r="267" customFormat="false" ht="15" hidden="false" customHeight="true" outlineLevel="0" collapsed="false">
      <c r="A267" s="9" t="n">
        <v>263</v>
      </c>
      <c r="B267" s="9" t="s">
        <v>1806</v>
      </c>
      <c r="C267" s="9" t="s">
        <v>1807</v>
      </c>
      <c r="D267" s="9" t="s">
        <v>434</v>
      </c>
      <c r="E267" s="9" t="s">
        <v>1808</v>
      </c>
      <c r="F267" s="9" t="s">
        <v>418</v>
      </c>
      <c r="G267" s="9" t="s">
        <v>1809</v>
      </c>
      <c r="H267" s="9" t="s">
        <v>1810</v>
      </c>
      <c r="I267" s="9" t="s">
        <v>421</v>
      </c>
      <c r="J267" s="9" t="s">
        <v>231</v>
      </c>
      <c r="K267" s="9" t="s">
        <v>1811</v>
      </c>
      <c r="L267" s="9" t="s">
        <v>1812</v>
      </c>
      <c r="M267" s="9" t="s">
        <v>424</v>
      </c>
      <c r="N267" s="9" t="s">
        <v>1813</v>
      </c>
    </row>
    <row r="268" customFormat="false" ht="15" hidden="false" customHeight="true" outlineLevel="0" collapsed="false">
      <c r="A268" s="9" t="n">
        <v>264</v>
      </c>
      <c r="B268" s="9" t="s">
        <v>1211</v>
      </c>
      <c r="C268" s="9" t="s">
        <v>1212</v>
      </c>
      <c r="D268" s="9" t="s">
        <v>816</v>
      </c>
      <c r="E268" s="9" t="s">
        <v>876</v>
      </c>
      <c r="F268" s="9" t="s">
        <v>418</v>
      </c>
      <c r="G268" s="9" t="s">
        <v>1213</v>
      </c>
      <c r="H268" s="9" t="s">
        <v>1814</v>
      </c>
      <c r="I268" s="9" t="s">
        <v>421</v>
      </c>
      <c r="J268" s="9" t="s">
        <v>231</v>
      </c>
      <c r="K268" s="9" t="s">
        <v>1815</v>
      </c>
      <c r="L268" s="9" t="s">
        <v>1816</v>
      </c>
      <c r="M268" s="9" t="s">
        <v>424</v>
      </c>
      <c r="N268" s="9" t="s">
        <v>1817</v>
      </c>
    </row>
    <row r="269" customFormat="false" ht="15" hidden="false" customHeight="true" outlineLevel="0" collapsed="false">
      <c r="A269" s="9" t="n">
        <v>265</v>
      </c>
      <c r="B269" s="9" t="s">
        <v>1818</v>
      </c>
      <c r="C269" s="9" t="s">
        <v>1819</v>
      </c>
      <c r="D269" s="9" t="s">
        <v>440</v>
      </c>
      <c r="E269" s="9" t="s">
        <v>500</v>
      </c>
      <c r="F269" s="9" t="s">
        <v>418</v>
      </c>
      <c r="G269" s="9" t="s">
        <v>1820</v>
      </c>
      <c r="H269" s="9" t="s">
        <v>1821</v>
      </c>
      <c r="I269" s="9" t="s">
        <v>421</v>
      </c>
      <c r="J269" s="9" t="s">
        <v>231</v>
      </c>
      <c r="K269" s="9" t="s">
        <v>1822</v>
      </c>
      <c r="L269" s="9" t="s">
        <v>1823</v>
      </c>
      <c r="M269" s="9" t="s">
        <v>522</v>
      </c>
      <c r="N269" s="9" t="s">
        <v>1824</v>
      </c>
    </row>
    <row r="270" customFormat="false" ht="15" hidden="false" customHeight="true" outlineLevel="0" collapsed="false">
      <c r="A270" s="9" t="n">
        <v>266</v>
      </c>
      <c r="B270" s="9" t="s">
        <v>1825</v>
      </c>
      <c r="C270" s="9" t="s">
        <v>1826</v>
      </c>
      <c r="D270" s="9" t="s">
        <v>478</v>
      </c>
      <c r="E270" s="9" t="s">
        <v>1627</v>
      </c>
      <c r="F270" s="9" t="s">
        <v>418</v>
      </c>
      <c r="G270" s="9" t="s">
        <v>1827</v>
      </c>
      <c r="H270" s="9" t="s">
        <v>1828</v>
      </c>
      <c r="I270" s="9" t="s">
        <v>421</v>
      </c>
      <c r="J270" s="9" t="s">
        <v>231</v>
      </c>
      <c r="K270" s="9" t="s">
        <v>1829</v>
      </c>
      <c r="L270" s="9" t="s">
        <v>1830</v>
      </c>
      <c r="M270" s="9" t="s">
        <v>424</v>
      </c>
      <c r="N270" s="9" t="s">
        <v>1831</v>
      </c>
    </row>
    <row r="271" customFormat="false" ht="15" hidden="false" customHeight="true" outlineLevel="0" collapsed="false">
      <c r="A271" s="9" t="n">
        <v>267</v>
      </c>
      <c r="B271" s="9" t="s">
        <v>1832</v>
      </c>
      <c r="C271" s="9" t="s">
        <v>1833</v>
      </c>
      <c r="D271" s="9" t="s">
        <v>445</v>
      </c>
      <c r="E271" s="9" t="s">
        <v>1834</v>
      </c>
      <c r="F271" s="9" t="s">
        <v>418</v>
      </c>
      <c r="G271" s="9" t="s">
        <v>1835</v>
      </c>
      <c r="H271" s="9" t="s">
        <v>1836</v>
      </c>
      <c r="I271" s="9" t="s">
        <v>421</v>
      </c>
      <c r="J271" s="9" t="s">
        <v>231</v>
      </c>
      <c r="K271" s="9" t="s">
        <v>1837</v>
      </c>
      <c r="L271" s="9" t="s">
        <v>1838</v>
      </c>
      <c r="M271" s="9" t="s">
        <v>424</v>
      </c>
      <c r="N271" s="9" t="s">
        <v>1839</v>
      </c>
    </row>
    <row r="272" customFormat="false" ht="15" hidden="false" customHeight="true" outlineLevel="0" collapsed="false">
      <c r="A272" s="9" t="n">
        <v>268</v>
      </c>
      <c r="B272" s="9" t="s">
        <v>1840</v>
      </c>
      <c r="C272" s="9" t="s">
        <v>1841</v>
      </c>
      <c r="D272" s="9" t="s">
        <v>445</v>
      </c>
      <c r="E272" s="9" t="s">
        <v>1842</v>
      </c>
      <c r="F272" s="9" t="s">
        <v>418</v>
      </c>
      <c r="G272" s="9" t="s">
        <v>1843</v>
      </c>
      <c r="H272" s="9" t="s">
        <v>1844</v>
      </c>
      <c r="I272" s="9" t="s">
        <v>421</v>
      </c>
      <c r="J272" s="9" t="s">
        <v>231</v>
      </c>
      <c r="K272" s="9" t="s">
        <v>1845</v>
      </c>
      <c r="L272" s="9" t="s">
        <v>1846</v>
      </c>
      <c r="M272" s="9" t="s">
        <v>424</v>
      </c>
      <c r="N272" s="9" t="s">
        <v>1847</v>
      </c>
    </row>
    <row r="273" customFormat="false" ht="15" hidden="false" customHeight="true" outlineLevel="0" collapsed="false">
      <c r="A273" s="9" t="n">
        <v>269</v>
      </c>
      <c r="B273" s="9" t="s">
        <v>1848</v>
      </c>
      <c r="C273" s="9" t="s">
        <v>1849</v>
      </c>
      <c r="D273" s="9" t="s">
        <v>445</v>
      </c>
      <c r="E273" s="9" t="s">
        <v>1850</v>
      </c>
      <c r="F273" s="9" t="s">
        <v>418</v>
      </c>
      <c r="G273" s="9" t="s">
        <v>1851</v>
      </c>
      <c r="H273" s="9" t="s">
        <v>1852</v>
      </c>
      <c r="I273" s="9" t="s">
        <v>421</v>
      </c>
      <c r="J273" s="9" t="s">
        <v>231</v>
      </c>
      <c r="K273" s="9" t="s">
        <v>1853</v>
      </c>
      <c r="L273" s="9" t="s">
        <v>1854</v>
      </c>
      <c r="M273" s="9" t="s">
        <v>424</v>
      </c>
      <c r="N273" s="9" t="s">
        <v>1855</v>
      </c>
    </row>
    <row r="274" customFormat="false" ht="15" hidden="false" customHeight="true" outlineLevel="0" collapsed="false">
      <c r="A274" s="9" t="n">
        <v>270</v>
      </c>
      <c r="B274" s="9" t="s">
        <v>1856</v>
      </c>
      <c r="C274" s="9" t="s">
        <v>1857</v>
      </c>
      <c r="D274" s="9" t="s">
        <v>478</v>
      </c>
      <c r="E274" s="9" t="s">
        <v>876</v>
      </c>
      <c r="F274" s="9" t="s">
        <v>418</v>
      </c>
      <c r="G274" s="9" t="s">
        <v>1858</v>
      </c>
      <c r="H274" s="9" t="s">
        <v>1859</v>
      </c>
      <c r="I274" s="9" t="s">
        <v>421</v>
      </c>
      <c r="J274" s="9" t="s">
        <v>231</v>
      </c>
      <c r="K274" s="9" t="s">
        <v>1860</v>
      </c>
      <c r="L274" s="9" t="s">
        <v>1861</v>
      </c>
      <c r="M274" s="9" t="s">
        <v>424</v>
      </c>
      <c r="N274" s="9" t="s">
        <v>1862</v>
      </c>
    </row>
    <row r="275" customFormat="false" ht="15" hidden="false" customHeight="true" outlineLevel="0" collapsed="false">
      <c r="A275" s="9" t="n">
        <v>271</v>
      </c>
      <c r="B275" s="9" t="s">
        <v>1863</v>
      </c>
      <c r="C275" s="9" t="s">
        <v>1864</v>
      </c>
      <c r="D275" s="9" t="s">
        <v>816</v>
      </c>
      <c r="E275" s="9" t="s">
        <v>500</v>
      </c>
      <c r="F275" s="9" t="s">
        <v>418</v>
      </c>
      <c r="G275" s="9" t="s">
        <v>1865</v>
      </c>
      <c r="H275" s="9" t="s">
        <v>1866</v>
      </c>
      <c r="I275" s="9" t="s">
        <v>421</v>
      </c>
      <c r="J275" s="9" t="s">
        <v>231</v>
      </c>
      <c r="K275" s="9" t="s">
        <v>1867</v>
      </c>
      <c r="L275" s="9" t="s">
        <v>1868</v>
      </c>
      <c r="M275" s="9" t="s">
        <v>424</v>
      </c>
      <c r="N275" s="9" t="s">
        <v>1869</v>
      </c>
    </row>
    <row r="276" customFormat="false" ht="15" hidden="false" customHeight="true" outlineLevel="0" collapsed="false">
      <c r="A276" s="9" t="n">
        <v>272</v>
      </c>
      <c r="B276" s="9" t="s">
        <v>1870</v>
      </c>
      <c r="C276" s="9" t="s">
        <v>1871</v>
      </c>
      <c r="D276" s="9" t="s">
        <v>452</v>
      </c>
      <c r="E276" s="9" t="s">
        <v>1872</v>
      </c>
      <c r="F276" s="9" t="s">
        <v>418</v>
      </c>
      <c r="G276" s="9" t="s">
        <v>1873</v>
      </c>
      <c r="H276" s="9" t="s">
        <v>1874</v>
      </c>
      <c r="I276" s="9" t="s">
        <v>421</v>
      </c>
      <c r="J276" s="9" t="s">
        <v>231</v>
      </c>
      <c r="K276" s="9" t="s">
        <v>1875</v>
      </c>
      <c r="L276" s="9" t="s">
        <v>1876</v>
      </c>
      <c r="M276" s="9" t="s">
        <v>424</v>
      </c>
      <c r="N276" s="9" t="s">
        <v>1877</v>
      </c>
    </row>
    <row r="277" customFormat="false" ht="15" hidden="false" customHeight="true" outlineLevel="0" collapsed="false">
      <c r="A277" s="9" t="n">
        <v>273</v>
      </c>
      <c r="B277" s="9" t="s">
        <v>1878</v>
      </c>
      <c r="C277" s="9" t="s">
        <v>1879</v>
      </c>
      <c r="D277" s="9" t="s">
        <v>452</v>
      </c>
      <c r="E277" s="9" t="s">
        <v>456</v>
      </c>
      <c r="F277" s="9" t="s">
        <v>418</v>
      </c>
      <c r="G277" s="9" t="s">
        <v>1880</v>
      </c>
      <c r="H277" s="9" t="s">
        <v>1881</v>
      </c>
      <c r="I277" s="9" t="s">
        <v>421</v>
      </c>
      <c r="J277" s="9" t="s">
        <v>231</v>
      </c>
      <c r="K277" s="9" t="s">
        <v>1882</v>
      </c>
      <c r="L277" s="9" t="s">
        <v>1883</v>
      </c>
      <c r="M277" s="9" t="s">
        <v>424</v>
      </c>
      <c r="N277" s="9" t="s">
        <v>1884</v>
      </c>
    </row>
    <row r="278" customFormat="false" ht="15" hidden="false" customHeight="true" outlineLevel="0" collapsed="false">
      <c r="A278" s="9" t="n">
        <v>274</v>
      </c>
      <c r="B278" s="9" t="s">
        <v>1885</v>
      </c>
      <c r="C278" s="9" t="s">
        <v>1886</v>
      </c>
      <c r="D278" s="9" t="s">
        <v>427</v>
      </c>
      <c r="E278" s="9" t="s">
        <v>1697</v>
      </c>
      <c r="F278" s="9" t="s">
        <v>418</v>
      </c>
      <c r="G278" s="9" t="s">
        <v>1887</v>
      </c>
      <c r="H278" s="9" t="s">
        <v>1888</v>
      </c>
      <c r="I278" s="9" t="s">
        <v>421</v>
      </c>
      <c r="J278" s="9" t="s">
        <v>231</v>
      </c>
      <c r="K278" s="9" t="s">
        <v>1889</v>
      </c>
      <c r="L278" s="9" t="s">
        <v>1890</v>
      </c>
      <c r="M278" s="9" t="s">
        <v>424</v>
      </c>
      <c r="N278" s="9" t="s">
        <v>1891</v>
      </c>
    </row>
    <row r="279" customFormat="false" ht="15" hidden="false" customHeight="true" outlineLevel="0" collapsed="false">
      <c r="A279" s="9" t="n">
        <v>275</v>
      </c>
      <c r="B279" s="9" t="s">
        <v>1892</v>
      </c>
      <c r="C279" s="9" t="s">
        <v>1893</v>
      </c>
      <c r="D279" s="9" t="s">
        <v>478</v>
      </c>
      <c r="E279" s="9" t="s">
        <v>485</v>
      </c>
      <c r="F279" s="9" t="s">
        <v>418</v>
      </c>
      <c r="G279" s="9" t="s">
        <v>1894</v>
      </c>
      <c r="H279" s="9" t="s">
        <v>1895</v>
      </c>
      <c r="I279" s="9" t="s">
        <v>421</v>
      </c>
      <c r="J279" s="9" t="s">
        <v>231</v>
      </c>
      <c r="K279" s="9" t="s">
        <v>1896</v>
      </c>
      <c r="L279" s="9" t="s">
        <v>1897</v>
      </c>
      <c r="M279" s="9" t="s">
        <v>424</v>
      </c>
      <c r="N279" s="9" t="s">
        <v>1898</v>
      </c>
    </row>
    <row r="280" customFormat="false" ht="15" hidden="false" customHeight="true" outlineLevel="0" collapsed="false">
      <c r="A280" s="9" t="n">
        <v>276</v>
      </c>
      <c r="B280" s="9" t="s">
        <v>1899</v>
      </c>
      <c r="C280" s="9" t="s">
        <v>1900</v>
      </c>
      <c r="D280" s="9" t="s">
        <v>427</v>
      </c>
      <c r="E280" s="9" t="s">
        <v>817</v>
      </c>
      <c r="F280" s="9" t="s">
        <v>418</v>
      </c>
      <c r="G280" s="9" t="s">
        <v>1901</v>
      </c>
      <c r="H280" s="9" t="s">
        <v>1902</v>
      </c>
      <c r="I280" s="9" t="s">
        <v>421</v>
      </c>
      <c r="J280" s="9" t="s">
        <v>231</v>
      </c>
      <c r="K280" s="9" t="s">
        <v>1903</v>
      </c>
      <c r="L280" s="9" t="s">
        <v>1904</v>
      </c>
      <c r="M280" s="9" t="s">
        <v>424</v>
      </c>
      <c r="N280" s="9" t="s">
        <v>1905</v>
      </c>
    </row>
    <row r="281" customFormat="false" ht="15" hidden="false" customHeight="true" outlineLevel="0" collapsed="false">
      <c r="A281" s="9" t="n">
        <v>277</v>
      </c>
      <c r="B281" s="9" t="s">
        <v>1906</v>
      </c>
      <c r="C281" s="9" t="s">
        <v>1683</v>
      </c>
      <c r="D281" s="9" t="s">
        <v>427</v>
      </c>
      <c r="E281" s="9" t="s">
        <v>846</v>
      </c>
      <c r="F281" s="9" t="s">
        <v>418</v>
      </c>
      <c r="G281" s="9" t="s">
        <v>1907</v>
      </c>
      <c r="H281" s="9" t="s">
        <v>1908</v>
      </c>
      <c r="I281" s="9" t="s">
        <v>421</v>
      </c>
      <c r="J281" s="9" t="s">
        <v>231</v>
      </c>
      <c r="K281" s="9" t="s">
        <v>1909</v>
      </c>
      <c r="L281" s="9" t="s">
        <v>1910</v>
      </c>
      <c r="M281" s="9" t="s">
        <v>424</v>
      </c>
      <c r="N281" s="9" t="s">
        <v>1911</v>
      </c>
    </row>
    <row r="282" customFormat="false" ht="15" hidden="false" customHeight="true" outlineLevel="0" collapsed="false">
      <c r="A282" s="9" t="n">
        <v>278</v>
      </c>
      <c r="B282" s="9" t="s">
        <v>1912</v>
      </c>
      <c r="C282" s="9" t="s">
        <v>1913</v>
      </c>
      <c r="D282" s="9" t="s">
        <v>427</v>
      </c>
      <c r="E282" s="9" t="s">
        <v>817</v>
      </c>
      <c r="F282" s="9" t="s">
        <v>418</v>
      </c>
      <c r="G282" s="9" t="s">
        <v>1914</v>
      </c>
      <c r="H282" s="9" t="s">
        <v>1915</v>
      </c>
      <c r="I282" s="9" t="s">
        <v>421</v>
      </c>
      <c r="J282" s="9" t="s">
        <v>231</v>
      </c>
      <c r="K282" s="9" t="s">
        <v>1916</v>
      </c>
      <c r="L282" s="9" t="s">
        <v>1917</v>
      </c>
      <c r="M282" s="9" t="s">
        <v>424</v>
      </c>
      <c r="N282" s="9" t="s">
        <v>1918</v>
      </c>
    </row>
    <row r="283" customFormat="false" ht="15" hidden="false" customHeight="true" outlineLevel="0" collapsed="false">
      <c r="A283" s="9" t="n">
        <v>279</v>
      </c>
      <c r="B283" s="9" t="s">
        <v>1919</v>
      </c>
      <c r="C283" s="9" t="s">
        <v>1920</v>
      </c>
      <c r="D283" s="9" t="s">
        <v>445</v>
      </c>
      <c r="E283" s="9" t="s">
        <v>1627</v>
      </c>
      <c r="F283" s="9" t="s">
        <v>418</v>
      </c>
      <c r="G283" s="9" t="s">
        <v>1921</v>
      </c>
      <c r="H283" s="9" t="s">
        <v>1922</v>
      </c>
      <c r="I283" s="9" t="s">
        <v>421</v>
      </c>
      <c r="J283" s="9" t="s">
        <v>231</v>
      </c>
      <c r="K283" s="9" t="s">
        <v>1923</v>
      </c>
      <c r="L283" s="9" t="s">
        <v>1924</v>
      </c>
      <c r="M283" s="9" t="s">
        <v>424</v>
      </c>
      <c r="N283" s="9" t="s">
        <v>1925</v>
      </c>
    </row>
    <row r="284" customFormat="false" ht="15" hidden="false" customHeight="true" outlineLevel="0" collapsed="false">
      <c r="A284" s="9" t="n">
        <v>280</v>
      </c>
      <c r="B284" s="9" t="s">
        <v>1926</v>
      </c>
      <c r="C284" s="9" t="s">
        <v>1920</v>
      </c>
      <c r="D284" s="9" t="s">
        <v>445</v>
      </c>
      <c r="E284" s="9" t="s">
        <v>1627</v>
      </c>
      <c r="F284" s="9" t="s">
        <v>418</v>
      </c>
      <c r="G284" s="9" t="s">
        <v>1927</v>
      </c>
      <c r="H284" s="9" t="s">
        <v>1928</v>
      </c>
      <c r="I284" s="9" t="s">
        <v>421</v>
      </c>
      <c r="J284" s="9" t="s">
        <v>231</v>
      </c>
      <c r="K284" s="9" t="s">
        <v>1929</v>
      </c>
      <c r="L284" s="9" t="s">
        <v>1930</v>
      </c>
      <c r="M284" s="9" t="s">
        <v>424</v>
      </c>
      <c r="N284" s="9" t="s">
        <v>1931</v>
      </c>
    </row>
    <row r="285" customFormat="false" ht="15" hidden="false" customHeight="true" outlineLevel="0" collapsed="false">
      <c r="A285" s="9" t="n">
        <v>281</v>
      </c>
      <c r="B285" s="9" t="s">
        <v>1932</v>
      </c>
      <c r="C285" s="9" t="s">
        <v>1933</v>
      </c>
      <c r="D285" s="9" t="s">
        <v>434</v>
      </c>
      <c r="E285" s="9" t="s">
        <v>846</v>
      </c>
      <c r="F285" s="9" t="s">
        <v>418</v>
      </c>
      <c r="G285" s="9" t="s">
        <v>1934</v>
      </c>
      <c r="H285" s="9" t="s">
        <v>1935</v>
      </c>
      <c r="I285" s="9" t="s">
        <v>421</v>
      </c>
      <c r="J285" s="9" t="s">
        <v>231</v>
      </c>
      <c r="K285" s="9" t="s">
        <v>1936</v>
      </c>
      <c r="L285" s="9" t="s">
        <v>1937</v>
      </c>
      <c r="M285" s="9" t="s">
        <v>424</v>
      </c>
      <c r="N285" s="9" t="s">
        <v>1938</v>
      </c>
    </row>
    <row r="286" customFormat="false" ht="15" hidden="false" customHeight="true" outlineLevel="0" collapsed="false">
      <c r="A286" s="9" t="n">
        <v>282</v>
      </c>
      <c r="B286" s="9" t="s">
        <v>1939</v>
      </c>
      <c r="C286" s="9" t="s">
        <v>1940</v>
      </c>
      <c r="D286" s="9" t="s">
        <v>434</v>
      </c>
      <c r="E286" s="9" t="s">
        <v>456</v>
      </c>
      <c r="F286" s="9" t="s">
        <v>418</v>
      </c>
      <c r="G286" s="9" t="s">
        <v>1941</v>
      </c>
      <c r="H286" s="9" t="s">
        <v>1942</v>
      </c>
      <c r="I286" s="9" t="s">
        <v>421</v>
      </c>
      <c r="J286" s="9" t="s">
        <v>231</v>
      </c>
      <c r="K286" s="9" t="s">
        <v>1943</v>
      </c>
      <c r="L286" s="9" t="s">
        <v>1944</v>
      </c>
      <c r="M286" s="9" t="s">
        <v>424</v>
      </c>
      <c r="N286" s="9" t="s">
        <v>1945</v>
      </c>
    </row>
    <row r="287" customFormat="false" ht="15" hidden="false" customHeight="true" outlineLevel="0" collapsed="false">
      <c r="A287" s="9" t="n">
        <v>283</v>
      </c>
      <c r="B287" s="9" t="s">
        <v>1946</v>
      </c>
      <c r="C287" s="9" t="s">
        <v>1947</v>
      </c>
      <c r="D287" s="9" t="s">
        <v>434</v>
      </c>
      <c r="E287" s="9" t="s">
        <v>500</v>
      </c>
      <c r="F287" s="9" t="s">
        <v>418</v>
      </c>
      <c r="G287" s="9" t="s">
        <v>1948</v>
      </c>
      <c r="H287" s="9" t="s">
        <v>1949</v>
      </c>
      <c r="I287" s="9" t="s">
        <v>421</v>
      </c>
      <c r="J287" s="9" t="s">
        <v>231</v>
      </c>
      <c r="K287" s="9" t="s">
        <v>1950</v>
      </c>
      <c r="L287" s="9" t="s">
        <v>1951</v>
      </c>
      <c r="M287" s="9" t="s">
        <v>424</v>
      </c>
      <c r="N287" s="9" t="s">
        <v>1952</v>
      </c>
    </row>
    <row r="288" customFormat="false" ht="15" hidden="false" customHeight="true" outlineLevel="0" collapsed="false">
      <c r="A288" s="9" t="n">
        <v>284</v>
      </c>
      <c r="B288" s="9" t="s">
        <v>1953</v>
      </c>
      <c r="C288" s="9" t="s">
        <v>1954</v>
      </c>
      <c r="D288" s="9" t="s">
        <v>452</v>
      </c>
      <c r="E288" s="9" t="s">
        <v>485</v>
      </c>
      <c r="F288" s="9" t="s">
        <v>418</v>
      </c>
      <c r="G288" s="9" t="s">
        <v>1955</v>
      </c>
      <c r="H288" s="9" t="s">
        <v>1956</v>
      </c>
      <c r="I288" s="9" t="s">
        <v>421</v>
      </c>
      <c r="J288" s="9" t="s">
        <v>231</v>
      </c>
      <c r="K288" s="9" t="s">
        <v>1957</v>
      </c>
      <c r="L288" s="9" t="s">
        <v>1958</v>
      </c>
      <c r="M288" s="9" t="s">
        <v>424</v>
      </c>
      <c r="N288" s="9" t="s">
        <v>1959</v>
      </c>
    </row>
    <row r="289" customFormat="false" ht="15" hidden="false" customHeight="true" outlineLevel="0" collapsed="false">
      <c r="A289" s="9" t="n">
        <v>285</v>
      </c>
      <c r="B289" s="9" t="s">
        <v>1960</v>
      </c>
      <c r="C289" s="9" t="s">
        <v>1961</v>
      </c>
      <c r="D289" s="9" t="s">
        <v>440</v>
      </c>
      <c r="E289" s="9" t="s">
        <v>500</v>
      </c>
      <c r="F289" s="9" t="s">
        <v>418</v>
      </c>
      <c r="G289" s="9" t="s">
        <v>1962</v>
      </c>
      <c r="H289" s="9" t="s">
        <v>1963</v>
      </c>
      <c r="I289" s="9" t="s">
        <v>421</v>
      </c>
      <c r="J289" s="9" t="s">
        <v>231</v>
      </c>
      <c r="K289" s="9" t="s">
        <v>1964</v>
      </c>
      <c r="L289" s="9" t="s">
        <v>1965</v>
      </c>
      <c r="M289" s="9" t="s">
        <v>424</v>
      </c>
      <c r="N289" s="9" t="s">
        <v>1966</v>
      </c>
    </row>
    <row r="290" customFormat="false" ht="15" hidden="false" customHeight="true" outlineLevel="0" collapsed="false">
      <c r="A290" s="9" t="n">
        <v>286</v>
      </c>
      <c r="B290" s="9" t="s">
        <v>1967</v>
      </c>
      <c r="C290" s="9" t="s">
        <v>1968</v>
      </c>
      <c r="D290" s="9" t="s">
        <v>440</v>
      </c>
      <c r="E290" s="9" t="s">
        <v>435</v>
      </c>
      <c r="F290" s="9" t="s">
        <v>418</v>
      </c>
      <c r="G290" s="9" t="s">
        <v>1969</v>
      </c>
      <c r="H290" s="9" t="s">
        <v>1970</v>
      </c>
      <c r="I290" s="9" t="s">
        <v>421</v>
      </c>
      <c r="J290" s="9" t="s">
        <v>231</v>
      </c>
      <c r="K290" s="9" t="s">
        <v>1971</v>
      </c>
      <c r="L290" s="9" t="s">
        <v>1972</v>
      </c>
      <c r="M290" s="9" t="s">
        <v>424</v>
      </c>
      <c r="N290" s="9" t="s">
        <v>1973</v>
      </c>
    </row>
    <row r="291" customFormat="false" ht="15" hidden="false" customHeight="true" outlineLevel="0" collapsed="false">
      <c r="A291" s="9" t="n">
        <v>287</v>
      </c>
      <c r="B291" s="9" t="s">
        <v>1974</v>
      </c>
      <c r="C291" s="9" t="s">
        <v>1975</v>
      </c>
      <c r="D291" s="9" t="s">
        <v>478</v>
      </c>
      <c r="E291" s="9" t="s">
        <v>846</v>
      </c>
      <c r="F291" s="9" t="s">
        <v>418</v>
      </c>
      <c r="G291" s="9" t="s">
        <v>1976</v>
      </c>
      <c r="H291" s="9" t="s">
        <v>1977</v>
      </c>
      <c r="I291" s="9" t="s">
        <v>421</v>
      </c>
      <c r="J291" s="9" t="s">
        <v>231</v>
      </c>
      <c r="K291" s="9" t="s">
        <v>1978</v>
      </c>
      <c r="L291" s="9" t="s">
        <v>1979</v>
      </c>
      <c r="M291" s="9" t="s">
        <v>424</v>
      </c>
      <c r="N291" s="9" t="s">
        <v>1980</v>
      </c>
    </row>
    <row r="292" customFormat="false" ht="15" hidden="false" customHeight="true" outlineLevel="0" collapsed="false">
      <c r="A292" s="9" t="n">
        <v>288</v>
      </c>
      <c r="B292" s="9" t="s">
        <v>1981</v>
      </c>
      <c r="C292" s="9" t="s">
        <v>1982</v>
      </c>
      <c r="D292" s="9" t="s">
        <v>478</v>
      </c>
      <c r="E292" s="9" t="s">
        <v>456</v>
      </c>
      <c r="F292" s="9" t="s">
        <v>418</v>
      </c>
      <c r="G292" s="9" t="s">
        <v>1983</v>
      </c>
      <c r="H292" s="9" t="s">
        <v>1984</v>
      </c>
      <c r="I292" s="9" t="s">
        <v>421</v>
      </c>
      <c r="J292" s="9" t="s">
        <v>231</v>
      </c>
      <c r="K292" s="9" t="s">
        <v>1985</v>
      </c>
      <c r="L292" s="9" t="s">
        <v>1986</v>
      </c>
      <c r="M292" s="9" t="s">
        <v>424</v>
      </c>
      <c r="N292" s="9" t="s">
        <v>1987</v>
      </c>
    </row>
    <row r="293" customFormat="false" ht="15" hidden="false" customHeight="true" outlineLevel="0" collapsed="false">
      <c r="A293" s="9" t="n">
        <v>289</v>
      </c>
      <c r="B293" s="9" t="s">
        <v>1988</v>
      </c>
      <c r="C293" s="9" t="s">
        <v>1989</v>
      </c>
      <c r="D293" s="9" t="s">
        <v>445</v>
      </c>
      <c r="E293" s="9" t="s">
        <v>876</v>
      </c>
      <c r="F293" s="9" t="s">
        <v>418</v>
      </c>
      <c r="G293" s="9" t="s">
        <v>1990</v>
      </c>
      <c r="H293" s="9" t="s">
        <v>1991</v>
      </c>
      <c r="I293" s="9" t="s">
        <v>421</v>
      </c>
      <c r="J293" s="9" t="s">
        <v>231</v>
      </c>
      <c r="K293" s="9" t="s">
        <v>1992</v>
      </c>
      <c r="L293" s="9" t="s">
        <v>1993</v>
      </c>
      <c r="M293" s="9" t="s">
        <v>424</v>
      </c>
      <c r="N293" s="9" t="s">
        <v>1994</v>
      </c>
    </row>
    <row r="294" customFormat="false" ht="15" hidden="false" customHeight="true" outlineLevel="0" collapsed="false">
      <c r="A294" s="9" t="n">
        <v>290</v>
      </c>
      <c r="B294" s="9" t="s">
        <v>1995</v>
      </c>
      <c r="C294" s="9" t="s">
        <v>1996</v>
      </c>
      <c r="D294" s="9" t="s">
        <v>445</v>
      </c>
      <c r="E294" s="9" t="s">
        <v>846</v>
      </c>
      <c r="F294" s="9" t="s">
        <v>418</v>
      </c>
      <c r="G294" s="9" t="s">
        <v>1997</v>
      </c>
      <c r="H294" s="9" t="s">
        <v>1998</v>
      </c>
      <c r="I294" s="9" t="s">
        <v>421</v>
      </c>
      <c r="J294" s="9" t="s">
        <v>231</v>
      </c>
      <c r="K294" s="9" t="s">
        <v>1999</v>
      </c>
      <c r="L294" s="9" t="s">
        <v>2000</v>
      </c>
      <c r="M294" s="9" t="s">
        <v>424</v>
      </c>
      <c r="N294" s="9" t="s">
        <v>2001</v>
      </c>
    </row>
    <row r="295" customFormat="false" ht="15" hidden="false" customHeight="true" outlineLevel="0" collapsed="false">
      <c r="A295" s="9" t="n">
        <v>291</v>
      </c>
      <c r="B295" s="9" t="s">
        <v>2002</v>
      </c>
      <c r="C295" s="9" t="s">
        <v>2003</v>
      </c>
      <c r="D295" s="9" t="s">
        <v>427</v>
      </c>
      <c r="E295" s="9" t="s">
        <v>974</v>
      </c>
      <c r="F295" s="9" t="s">
        <v>418</v>
      </c>
      <c r="G295" s="9" t="s">
        <v>2004</v>
      </c>
      <c r="H295" s="9" t="s">
        <v>2005</v>
      </c>
      <c r="I295" s="9" t="s">
        <v>421</v>
      </c>
      <c r="J295" s="9" t="s">
        <v>231</v>
      </c>
      <c r="K295" s="9" t="s">
        <v>2006</v>
      </c>
      <c r="L295" s="9" t="s">
        <v>2007</v>
      </c>
      <c r="M295" s="9" t="s">
        <v>424</v>
      </c>
      <c r="N295" s="9" t="s">
        <v>2008</v>
      </c>
    </row>
    <row r="296" customFormat="false" ht="15" hidden="false" customHeight="true" outlineLevel="0" collapsed="false">
      <c r="A296" s="9" t="n">
        <v>292</v>
      </c>
      <c r="B296" s="9" t="s">
        <v>2009</v>
      </c>
      <c r="C296" s="9" t="s">
        <v>2010</v>
      </c>
      <c r="D296" s="9" t="s">
        <v>452</v>
      </c>
      <c r="E296" s="9" t="s">
        <v>428</v>
      </c>
      <c r="F296" s="9" t="s">
        <v>418</v>
      </c>
      <c r="G296" s="9" t="s">
        <v>2011</v>
      </c>
      <c r="H296" s="9" t="s">
        <v>2012</v>
      </c>
      <c r="I296" s="9" t="s">
        <v>421</v>
      </c>
      <c r="J296" s="9" t="s">
        <v>231</v>
      </c>
      <c r="K296" s="9" t="s">
        <v>2013</v>
      </c>
      <c r="L296" s="9" t="s">
        <v>2014</v>
      </c>
      <c r="M296" s="9" t="s">
        <v>424</v>
      </c>
      <c r="N296" s="9" t="s">
        <v>2015</v>
      </c>
    </row>
    <row r="297" customFormat="false" ht="15" hidden="false" customHeight="true" outlineLevel="0" collapsed="false">
      <c r="A297" s="9" t="n">
        <v>293</v>
      </c>
      <c r="B297" s="9" t="s">
        <v>2016</v>
      </c>
      <c r="C297" s="9" t="s">
        <v>2017</v>
      </c>
      <c r="D297" s="9" t="s">
        <v>452</v>
      </c>
      <c r="E297" s="9" t="s">
        <v>456</v>
      </c>
      <c r="F297" s="9" t="s">
        <v>418</v>
      </c>
      <c r="G297" s="9" t="s">
        <v>2018</v>
      </c>
      <c r="H297" s="9" t="s">
        <v>2019</v>
      </c>
      <c r="I297" s="9" t="s">
        <v>421</v>
      </c>
      <c r="J297" s="9" t="s">
        <v>231</v>
      </c>
      <c r="K297" s="9" t="s">
        <v>2020</v>
      </c>
      <c r="L297" s="9" t="s">
        <v>2021</v>
      </c>
      <c r="M297" s="9" t="s">
        <v>424</v>
      </c>
      <c r="N297" s="9" t="s">
        <v>2022</v>
      </c>
    </row>
    <row r="298" customFormat="false" ht="15" hidden="false" customHeight="true" outlineLevel="0" collapsed="false">
      <c r="A298" s="9" t="n">
        <v>294</v>
      </c>
      <c r="B298" s="9" t="s">
        <v>2023</v>
      </c>
      <c r="C298" s="9" t="s">
        <v>2024</v>
      </c>
      <c r="D298" s="9" t="s">
        <v>816</v>
      </c>
      <c r="E298" s="9" t="s">
        <v>846</v>
      </c>
      <c r="F298" s="9" t="s">
        <v>418</v>
      </c>
      <c r="G298" s="9" t="s">
        <v>1003</v>
      </c>
      <c r="H298" s="9" t="s">
        <v>2025</v>
      </c>
      <c r="I298" s="9" t="s">
        <v>421</v>
      </c>
      <c r="J298" s="9" t="s">
        <v>231</v>
      </c>
      <c r="K298" s="9" t="s">
        <v>2026</v>
      </c>
      <c r="L298" s="9" t="s">
        <v>2027</v>
      </c>
      <c r="M298" s="9" t="s">
        <v>424</v>
      </c>
      <c r="N298" s="9" t="s">
        <v>2028</v>
      </c>
    </row>
    <row r="299" customFormat="false" ht="15" hidden="false" customHeight="true" outlineLevel="0" collapsed="false">
      <c r="A299" s="9" t="n">
        <v>295</v>
      </c>
      <c r="B299" s="9" t="s">
        <v>2029</v>
      </c>
      <c r="C299" s="9" t="s">
        <v>2030</v>
      </c>
      <c r="D299" s="9" t="s">
        <v>816</v>
      </c>
      <c r="E299" s="9" t="s">
        <v>817</v>
      </c>
      <c r="F299" s="9" t="s">
        <v>418</v>
      </c>
      <c r="G299" s="9" t="s">
        <v>2031</v>
      </c>
      <c r="H299" s="9" t="s">
        <v>2032</v>
      </c>
      <c r="I299" s="9" t="s">
        <v>421</v>
      </c>
      <c r="J299" s="9" t="s">
        <v>231</v>
      </c>
      <c r="K299" s="9" t="s">
        <v>2033</v>
      </c>
      <c r="L299" s="9" t="s">
        <v>2034</v>
      </c>
      <c r="M299" s="9" t="s">
        <v>424</v>
      </c>
      <c r="N299" s="9" t="s">
        <v>2035</v>
      </c>
    </row>
    <row r="300" customFormat="false" ht="15" hidden="false" customHeight="true" outlineLevel="0" collapsed="false">
      <c r="A300" s="9" t="n">
        <v>296</v>
      </c>
      <c r="B300" s="9" t="s">
        <v>2036</v>
      </c>
      <c r="C300" s="9" t="s">
        <v>2037</v>
      </c>
      <c r="D300" s="9" t="s">
        <v>816</v>
      </c>
      <c r="E300" s="9" t="s">
        <v>446</v>
      </c>
      <c r="F300" s="9" t="s">
        <v>418</v>
      </c>
      <c r="G300" s="9" t="s">
        <v>2038</v>
      </c>
      <c r="H300" s="9" t="s">
        <v>2039</v>
      </c>
      <c r="I300" s="9" t="s">
        <v>421</v>
      </c>
      <c r="J300" s="9" t="s">
        <v>231</v>
      </c>
      <c r="K300" s="9" t="s">
        <v>2040</v>
      </c>
      <c r="L300" s="9" t="s">
        <v>2041</v>
      </c>
      <c r="M300" s="9" t="s">
        <v>522</v>
      </c>
      <c r="N300" s="9" t="s">
        <v>2042</v>
      </c>
    </row>
    <row r="301" customFormat="false" ht="15" hidden="false" customHeight="true" outlineLevel="0" collapsed="false">
      <c r="A301" s="9" t="n">
        <v>297</v>
      </c>
      <c r="B301" s="9" t="s">
        <v>2043</v>
      </c>
      <c r="C301" s="9" t="s">
        <v>2044</v>
      </c>
      <c r="D301" s="9" t="s">
        <v>2045</v>
      </c>
      <c r="E301" s="9" t="s">
        <v>817</v>
      </c>
      <c r="F301" s="9" t="s">
        <v>418</v>
      </c>
      <c r="G301" s="9" t="s">
        <v>2046</v>
      </c>
      <c r="H301" s="9" t="s">
        <v>2047</v>
      </c>
      <c r="I301" s="9" t="s">
        <v>421</v>
      </c>
      <c r="J301" s="9" t="s">
        <v>231</v>
      </c>
      <c r="K301" s="9" t="s">
        <v>2048</v>
      </c>
      <c r="L301" s="9" t="s">
        <v>2049</v>
      </c>
      <c r="M301" s="9" t="s">
        <v>424</v>
      </c>
      <c r="N301" s="9" t="s">
        <v>2050</v>
      </c>
    </row>
    <row r="302" customFormat="false" ht="15" hidden="false" customHeight="true" outlineLevel="0" collapsed="false">
      <c r="A302" s="9" t="n">
        <v>298</v>
      </c>
      <c r="B302" s="9" t="s">
        <v>2051</v>
      </c>
      <c r="C302" s="9" t="s">
        <v>1496</v>
      </c>
      <c r="D302" s="9" t="s">
        <v>2045</v>
      </c>
      <c r="E302" s="9" t="s">
        <v>846</v>
      </c>
      <c r="F302" s="9" t="s">
        <v>418</v>
      </c>
      <c r="G302" s="9" t="s">
        <v>2052</v>
      </c>
      <c r="H302" s="9" t="s">
        <v>2053</v>
      </c>
      <c r="I302" s="9" t="s">
        <v>421</v>
      </c>
      <c r="J302" s="9" t="s">
        <v>231</v>
      </c>
      <c r="K302" s="9" t="s">
        <v>2054</v>
      </c>
      <c r="L302" s="9" t="s">
        <v>2055</v>
      </c>
      <c r="M302" s="9" t="s">
        <v>424</v>
      </c>
      <c r="N302" s="9" t="s">
        <v>2056</v>
      </c>
    </row>
    <row r="303" customFormat="false" ht="15" hidden="false" customHeight="true" outlineLevel="0" collapsed="false">
      <c r="A303" s="9" t="n">
        <v>299</v>
      </c>
      <c r="B303" s="9" t="s">
        <v>2057</v>
      </c>
      <c r="C303" s="9" t="s">
        <v>2058</v>
      </c>
      <c r="D303" s="9" t="s">
        <v>2045</v>
      </c>
      <c r="E303" s="9" t="s">
        <v>876</v>
      </c>
      <c r="F303" s="9" t="s">
        <v>418</v>
      </c>
      <c r="G303" s="9" t="s">
        <v>1734</v>
      </c>
      <c r="H303" s="9" t="s">
        <v>2059</v>
      </c>
      <c r="I303" s="9" t="s">
        <v>421</v>
      </c>
      <c r="J303" s="9" t="s">
        <v>231</v>
      </c>
      <c r="K303" s="9" t="s">
        <v>2060</v>
      </c>
      <c r="L303" s="9" t="s">
        <v>2061</v>
      </c>
      <c r="M303" s="9" t="s">
        <v>424</v>
      </c>
      <c r="N303" s="9" t="s">
        <v>2062</v>
      </c>
    </row>
    <row r="304" customFormat="false" ht="15" hidden="false" customHeight="true" outlineLevel="0" collapsed="false">
      <c r="A304" s="9" t="n">
        <v>300</v>
      </c>
      <c r="B304" s="9" t="s">
        <v>2063</v>
      </c>
      <c r="C304" s="9" t="s">
        <v>2064</v>
      </c>
      <c r="D304" s="9" t="s">
        <v>2045</v>
      </c>
      <c r="E304" s="9" t="s">
        <v>974</v>
      </c>
      <c r="F304" s="9" t="s">
        <v>418</v>
      </c>
      <c r="G304" s="9" t="s">
        <v>2065</v>
      </c>
      <c r="H304" s="9" t="s">
        <v>2066</v>
      </c>
      <c r="I304" s="9" t="s">
        <v>421</v>
      </c>
      <c r="J304" s="9" t="s">
        <v>231</v>
      </c>
      <c r="K304" s="9" t="s">
        <v>2067</v>
      </c>
      <c r="L304" s="9" t="s">
        <v>2068</v>
      </c>
      <c r="M304" s="9" t="s">
        <v>424</v>
      </c>
      <c r="N304" s="9" t="s">
        <v>2069</v>
      </c>
    </row>
    <row r="305" customFormat="false" ht="15" hidden="false" customHeight="true" outlineLevel="0" collapsed="false">
      <c r="A305" s="9" t="n">
        <v>301</v>
      </c>
      <c r="B305" s="9" t="s">
        <v>2070</v>
      </c>
      <c r="C305" s="9" t="s">
        <v>2071</v>
      </c>
      <c r="D305" s="9" t="s">
        <v>2045</v>
      </c>
      <c r="E305" s="9" t="s">
        <v>1462</v>
      </c>
      <c r="F305" s="9" t="s">
        <v>418</v>
      </c>
      <c r="G305" s="9" t="s">
        <v>2072</v>
      </c>
      <c r="H305" s="9" t="s">
        <v>2073</v>
      </c>
      <c r="I305" s="9" t="s">
        <v>421</v>
      </c>
      <c r="J305" s="9" t="s">
        <v>231</v>
      </c>
      <c r="K305" s="9" t="s">
        <v>2074</v>
      </c>
      <c r="L305" s="9" t="s">
        <v>2075</v>
      </c>
      <c r="M305" s="9" t="s">
        <v>424</v>
      </c>
      <c r="N305" s="9" t="s">
        <v>2076</v>
      </c>
    </row>
    <row r="306" customFormat="false" ht="15" hidden="false" customHeight="true" outlineLevel="0" collapsed="false">
      <c r="A306" s="9" t="n">
        <v>302</v>
      </c>
      <c r="B306" s="9" t="s">
        <v>965</v>
      </c>
      <c r="C306" s="9" t="s">
        <v>966</v>
      </c>
      <c r="D306" s="9" t="s">
        <v>816</v>
      </c>
      <c r="E306" s="9" t="s">
        <v>817</v>
      </c>
      <c r="F306" s="9" t="s">
        <v>418</v>
      </c>
      <c r="G306" s="9" t="s">
        <v>967</v>
      </c>
      <c r="H306" s="9" t="s">
        <v>2077</v>
      </c>
      <c r="I306" s="9" t="s">
        <v>421</v>
      </c>
      <c r="J306" s="9" t="s">
        <v>231</v>
      </c>
      <c r="K306" s="9" t="s">
        <v>2078</v>
      </c>
      <c r="L306" s="9" t="s">
        <v>2079</v>
      </c>
      <c r="M306" s="9" t="s">
        <v>424</v>
      </c>
      <c r="N306" s="9" t="s">
        <v>2080</v>
      </c>
    </row>
    <row r="307" customFormat="false" ht="15" hidden="false" customHeight="true" outlineLevel="0" collapsed="false">
      <c r="A307" s="9" t="n">
        <v>303</v>
      </c>
      <c r="B307" s="9" t="s">
        <v>2081</v>
      </c>
      <c r="C307" s="9" t="s">
        <v>2082</v>
      </c>
      <c r="D307" s="9" t="s">
        <v>445</v>
      </c>
      <c r="E307" s="9" t="s">
        <v>974</v>
      </c>
      <c r="F307" s="9" t="s">
        <v>418</v>
      </c>
      <c r="G307" s="9" t="s">
        <v>2083</v>
      </c>
      <c r="H307" s="9" t="s">
        <v>2084</v>
      </c>
      <c r="I307" s="9" t="s">
        <v>421</v>
      </c>
      <c r="J307" s="9" t="s">
        <v>231</v>
      </c>
      <c r="K307" s="9" t="s">
        <v>2085</v>
      </c>
      <c r="L307" s="9" t="s">
        <v>2086</v>
      </c>
      <c r="M307" s="9" t="s">
        <v>424</v>
      </c>
      <c r="N307" s="9" t="s">
        <v>2087</v>
      </c>
    </row>
    <row r="308" customFormat="false" ht="15" hidden="false" customHeight="true" outlineLevel="0" collapsed="false">
      <c r="A308" s="9" t="n">
        <v>304</v>
      </c>
      <c r="B308" s="9" t="s">
        <v>2088</v>
      </c>
      <c r="C308" s="9" t="s">
        <v>2089</v>
      </c>
      <c r="D308" s="9" t="s">
        <v>445</v>
      </c>
      <c r="E308" s="9" t="s">
        <v>2090</v>
      </c>
      <c r="F308" s="9" t="s">
        <v>418</v>
      </c>
      <c r="G308" s="9" t="s">
        <v>2091</v>
      </c>
      <c r="H308" s="9" t="s">
        <v>2092</v>
      </c>
      <c r="I308" s="9" t="s">
        <v>421</v>
      </c>
      <c r="J308" s="9" t="s">
        <v>231</v>
      </c>
      <c r="K308" s="9" t="s">
        <v>2093</v>
      </c>
      <c r="L308" s="9" t="s">
        <v>2094</v>
      </c>
      <c r="M308" s="9" t="s">
        <v>424</v>
      </c>
      <c r="N308" s="9" t="s">
        <v>2095</v>
      </c>
    </row>
    <row r="309" customFormat="false" ht="15" hidden="false" customHeight="true" outlineLevel="0" collapsed="false">
      <c r="A309" s="9" t="n">
        <v>305</v>
      </c>
      <c r="B309" s="9" t="s">
        <v>2096</v>
      </c>
      <c r="C309" s="9" t="s">
        <v>2097</v>
      </c>
      <c r="D309" s="9" t="s">
        <v>445</v>
      </c>
      <c r="E309" s="9" t="s">
        <v>817</v>
      </c>
      <c r="F309" s="9" t="s">
        <v>418</v>
      </c>
      <c r="G309" s="9" t="s">
        <v>2098</v>
      </c>
      <c r="H309" s="9" t="s">
        <v>2099</v>
      </c>
      <c r="I309" s="9" t="s">
        <v>421</v>
      </c>
      <c r="J309" s="9" t="s">
        <v>231</v>
      </c>
      <c r="K309" s="9" t="s">
        <v>2100</v>
      </c>
      <c r="L309" s="9" t="s">
        <v>2101</v>
      </c>
      <c r="M309" s="9" t="s">
        <v>424</v>
      </c>
      <c r="N309" s="9" t="s">
        <v>2102</v>
      </c>
    </row>
    <row r="310" customFormat="false" ht="15" hidden="false" customHeight="true" outlineLevel="0" collapsed="false">
      <c r="A310" s="9" t="n">
        <v>306</v>
      </c>
      <c r="B310" s="9" t="s">
        <v>2103</v>
      </c>
      <c r="C310" s="9" t="s">
        <v>2104</v>
      </c>
      <c r="D310" s="9" t="s">
        <v>445</v>
      </c>
      <c r="E310" s="9" t="s">
        <v>974</v>
      </c>
      <c r="F310" s="9" t="s">
        <v>418</v>
      </c>
      <c r="G310" s="9" t="s">
        <v>2105</v>
      </c>
      <c r="H310" s="9" t="s">
        <v>2106</v>
      </c>
      <c r="I310" s="9" t="s">
        <v>421</v>
      </c>
      <c r="J310" s="9" t="s">
        <v>231</v>
      </c>
      <c r="K310" s="9" t="s">
        <v>2107</v>
      </c>
      <c r="L310" s="9" t="s">
        <v>2108</v>
      </c>
      <c r="M310" s="9" t="s">
        <v>424</v>
      </c>
      <c r="N310" s="9" t="s">
        <v>2109</v>
      </c>
    </row>
    <row r="311" customFormat="false" ht="15" hidden="false" customHeight="true" outlineLevel="0" collapsed="false">
      <c r="A311" s="9" t="n">
        <v>307</v>
      </c>
      <c r="B311" s="9" t="s">
        <v>2110</v>
      </c>
      <c r="C311" s="9" t="s">
        <v>2111</v>
      </c>
      <c r="D311" s="9" t="s">
        <v>427</v>
      </c>
      <c r="E311" s="9" t="s">
        <v>817</v>
      </c>
      <c r="F311" s="9" t="s">
        <v>418</v>
      </c>
      <c r="G311" s="9" t="s">
        <v>2112</v>
      </c>
      <c r="H311" s="9" t="s">
        <v>2113</v>
      </c>
      <c r="I311" s="9" t="s">
        <v>421</v>
      </c>
      <c r="J311" s="9" t="s">
        <v>231</v>
      </c>
      <c r="K311" s="9" t="s">
        <v>2114</v>
      </c>
      <c r="L311" s="9" t="s">
        <v>2115</v>
      </c>
      <c r="M311" s="9" t="s">
        <v>424</v>
      </c>
      <c r="N311" s="9" t="s">
        <v>2116</v>
      </c>
    </row>
    <row r="312" customFormat="false" ht="15" hidden="false" customHeight="true" outlineLevel="0" collapsed="false">
      <c r="A312" s="9" t="n">
        <v>308</v>
      </c>
      <c r="B312" s="9" t="s">
        <v>2117</v>
      </c>
      <c r="C312" s="9" t="s">
        <v>2118</v>
      </c>
      <c r="D312" s="9" t="s">
        <v>427</v>
      </c>
      <c r="E312" s="9" t="s">
        <v>500</v>
      </c>
      <c r="F312" s="9" t="s">
        <v>418</v>
      </c>
      <c r="G312" s="9" t="s">
        <v>2119</v>
      </c>
      <c r="H312" s="9" t="s">
        <v>2120</v>
      </c>
      <c r="I312" s="9" t="s">
        <v>421</v>
      </c>
      <c r="J312" s="9" t="s">
        <v>231</v>
      </c>
      <c r="K312" s="9" t="s">
        <v>2121</v>
      </c>
      <c r="L312" s="9" t="s">
        <v>2122</v>
      </c>
      <c r="M312" s="9" t="s">
        <v>424</v>
      </c>
      <c r="N312" s="9" t="s">
        <v>2123</v>
      </c>
    </row>
    <row r="313" customFormat="false" ht="15" hidden="false" customHeight="true" outlineLevel="0" collapsed="false">
      <c r="A313" s="9" t="n">
        <v>309</v>
      </c>
      <c r="B313" s="9" t="s">
        <v>2124</v>
      </c>
      <c r="C313" s="9" t="s">
        <v>2125</v>
      </c>
      <c r="D313" s="9" t="s">
        <v>816</v>
      </c>
      <c r="E313" s="9" t="s">
        <v>485</v>
      </c>
      <c r="F313" s="9" t="s">
        <v>418</v>
      </c>
      <c r="G313" s="9" t="s">
        <v>2126</v>
      </c>
      <c r="H313" s="9" t="s">
        <v>2127</v>
      </c>
      <c r="I313" s="9" t="s">
        <v>421</v>
      </c>
      <c r="J313" s="9" t="s">
        <v>231</v>
      </c>
      <c r="K313" s="9" t="s">
        <v>2128</v>
      </c>
      <c r="L313" s="9" t="s">
        <v>2129</v>
      </c>
      <c r="M313" s="9" t="s">
        <v>424</v>
      </c>
      <c r="N313" s="9" t="s">
        <v>2130</v>
      </c>
    </row>
    <row r="314" customFormat="false" ht="15" hidden="false" customHeight="true" outlineLevel="0" collapsed="false">
      <c r="A314" s="9" t="n">
        <v>310</v>
      </c>
      <c r="B314" s="9" t="s">
        <v>2131</v>
      </c>
      <c r="C314" s="9" t="s">
        <v>2132</v>
      </c>
      <c r="D314" s="9" t="s">
        <v>434</v>
      </c>
      <c r="E314" s="9" t="s">
        <v>485</v>
      </c>
      <c r="F314" s="9" t="s">
        <v>418</v>
      </c>
      <c r="G314" s="9" t="s">
        <v>2133</v>
      </c>
      <c r="H314" s="9" t="s">
        <v>2134</v>
      </c>
      <c r="I314" s="9" t="s">
        <v>421</v>
      </c>
      <c r="J314" s="9" t="s">
        <v>231</v>
      </c>
      <c r="K314" s="9" t="s">
        <v>2135</v>
      </c>
      <c r="L314" s="9" t="s">
        <v>2136</v>
      </c>
      <c r="M314" s="9" t="s">
        <v>424</v>
      </c>
      <c r="N314" s="9" t="s">
        <v>2137</v>
      </c>
    </row>
    <row r="315" customFormat="false" ht="15" hidden="false" customHeight="true" outlineLevel="0" collapsed="false">
      <c r="A315" s="9" t="n">
        <v>311</v>
      </c>
      <c r="B315" s="9" t="s">
        <v>2138</v>
      </c>
      <c r="C315" s="9" t="s">
        <v>2139</v>
      </c>
      <c r="D315" s="9" t="s">
        <v>427</v>
      </c>
      <c r="E315" s="9" t="s">
        <v>1547</v>
      </c>
      <c r="F315" s="9" t="s">
        <v>418</v>
      </c>
      <c r="G315" s="9" t="s">
        <v>2140</v>
      </c>
      <c r="H315" s="9" t="s">
        <v>2141</v>
      </c>
      <c r="I315" s="9" t="s">
        <v>421</v>
      </c>
      <c r="J315" s="9" t="s">
        <v>231</v>
      </c>
      <c r="K315" s="9" t="s">
        <v>2142</v>
      </c>
      <c r="L315" s="9" t="s">
        <v>2143</v>
      </c>
      <c r="M315" s="9" t="s">
        <v>424</v>
      </c>
      <c r="N315" s="9" t="s">
        <v>2144</v>
      </c>
    </row>
    <row r="316" customFormat="false" ht="15" hidden="false" customHeight="true" outlineLevel="0" collapsed="false">
      <c r="A316" s="9" t="n">
        <v>312</v>
      </c>
      <c r="B316" s="9" t="s">
        <v>2145</v>
      </c>
      <c r="C316" s="9" t="s">
        <v>2146</v>
      </c>
      <c r="D316" s="9" t="s">
        <v>478</v>
      </c>
      <c r="E316" s="9" t="s">
        <v>846</v>
      </c>
      <c r="F316" s="9" t="s">
        <v>418</v>
      </c>
      <c r="G316" s="9" t="s">
        <v>2147</v>
      </c>
      <c r="H316" s="9" t="s">
        <v>2148</v>
      </c>
      <c r="I316" s="9" t="s">
        <v>421</v>
      </c>
      <c r="J316" s="9" t="s">
        <v>231</v>
      </c>
      <c r="K316" s="9" t="s">
        <v>2149</v>
      </c>
      <c r="L316" s="9" t="s">
        <v>2150</v>
      </c>
      <c r="M316" s="9" t="s">
        <v>424</v>
      </c>
      <c r="N316" s="9" t="s">
        <v>2151</v>
      </c>
    </row>
    <row r="317" customFormat="false" ht="15" hidden="false" customHeight="true" outlineLevel="0" collapsed="false">
      <c r="A317" s="9" t="n">
        <v>313</v>
      </c>
      <c r="B317" s="9" t="s">
        <v>2152</v>
      </c>
      <c r="C317" s="9" t="s">
        <v>2153</v>
      </c>
      <c r="D317" s="9" t="s">
        <v>478</v>
      </c>
      <c r="E317" s="9" t="s">
        <v>846</v>
      </c>
      <c r="F317" s="9" t="s">
        <v>418</v>
      </c>
      <c r="G317" s="9" t="s">
        <v>2154</v>
      </c>
      <c r="H317" s="9" t="s">
        <v>2155</v>
      </c>
      <c r="I317" s="9" t="s">
        <v>421</v>
      </c>
      <c r="J317" s="9" t="s">
        <v>231</v>
      </c>
      <c r="K317" s="9" t="s">
        <v>2156</v>
      </c>
      <c r="L317" s="9" t="s">
        <v>2157</v>
      </c>
      <c r="M317" s="9" t="s">
        <v>424</v>
      </c>
      <c r="N317" s="9" t="s">
        <v>2158</v>
      </c>
    </row>
    <row r="318" customFormat="false" ht="15" hidden="false" customHeight="true" outlineLevel="0" collapsed="false">
      <c r="A318" s="9" t="n">
        <v>314</v>
      </c>
      <c r="B318" s="9" t="s">
        <v>2159</v>
      </c>
      <c r="C318" s="9" t="s">
        <v>2160</v>
      </c>
      <c r="D318" s="9" t="s">
        <v>427</v>
      </c>
      <c r="E318" s="9" t="s">
        <v>1220</v>
      </c>
      <c r="F318" s="9" t="s">
        <v>418</v>
      </c>
      <c r="G318" s="9" t="s">
        <v>2161</v>
      </c>
      <c r="H318" s="9" t="s">
        <v>2162</v>
      </c>
      <c r="I318" s="9" t="s">
        <v>421</v>
      </c>
      <c r="J318" s="9" t="s">
        <v>231</v>
      </c>
      <c r="K318" s="9" t="s">
        <v>2163</v>
      </c>
      <c r="L318" s="9" t="s">
        <v>2164</v>
      </c>
      <c r="M318" s="9" t="s">
        <v>424</v>
      </c>
      <c r="N318" s="9" t="s">
        <v>2165</v>
      </c>
    </row>
    <row r="319" customFormat="false" ht="15" hidden="false" customHeight="true" outlineLevel="0" collapsed="false">
      <c r="A319" s="9" t="n">
        <v>315</v>
      </c>
      <c r="B319" s="9" t="s">
        <v>2166</v>
      </c>
      <c r="C319" s="9" t="s">
        <v>2167</v>
      </c>
      <c r="D319" s="9" t="s">
        <v>427</v>
      </c>
      <c r="E319" s="9" t="s">
        <v>1547</v>
      </c>
      <c r="F319" s="9" t="s">
        <v>418</v>
      </c>
      <c r="G319" s="9" t="s">
        <v>2168</v>
      </c>
      <c r="H319" s="9" t="s">
        <v>2169</v>
      </c>
      <c r="I319" s="9" t="s">
        <v>421</v>
      </c>
      <c r="J319" s="9" t="s">
        <v>231</v>
      </c>
      <c r="K319" s="9" t="s">
        <v>2170</v>
      </c>
      <c r="L319" s="9" t="s">
        <v>2171</v>
      </c>
      <c r="M319" s="9" t="s">
        <v>424</v>
      </c>
      <c r="N319" s="9" t="s">
        <v>2172</v>
      </c>
    </row>
    <row r="320" customFormat="false" ht="15" hidden="false" customHeight="true" outlineLevel="0" collapsed="false">
      <c r="A320" s="9" t="n">
        <v>316</v>
      </c>
      <c r="B320" s="9" t="s">
        <v>2173</v>
      </c>
      <c r="C320" s="9" t="s">
        <v>1683</v>
      </c>
      <c r="D320" s="9" t="s">
        <v>427</v>
      </c>
      <c r="E320" s="9" t="s">
        <v>876</v>
      </c>
      <c r="F320" s="9" t="s">
        <v>418</v>
      </c>
      <c r="G320" s="9" t="s">
        <v>2174</v>
      </c>
      <c r="H320" s="9" t="s">
        <v>2175</v>
      </c>
      <c r="I320" s="9" t="s">
        <v>421</v>
      </c>
      <c r="J320" s="9" t="s">
        <v>231</v>
      </c>
      <c r="K320" s="9" t="s">
        <v>2176</v>
      </c>
      <c r="L320" s="9" t="s">
        <v>2177</v>
      </c>
      <c r="M320" s="9" t="s">
        <v>424</v>
      </c>
      <c r="N320" s="9" t="s">
        <v>2178</v>
      </c>
    </row>
    <row r="321" customFormat="false" ht="15" hidden="false" customHeight="true" outlineLevel="0" collapsed="false">
      <c r="A321" s="9" t="n">
        <v>317</v>
      </c>
      <c r="B321" s="9" t="s">
        <v>2179</v>
      </c>
      <c r="C321" s="9" t="s">
        <v>2180</v>
      </c>
      <c r="D321" s="9" t="s">
        <v>478</v>
      </c>
      <c r="E321" s="9" t="s">
        <v>861</v>
      </c>
      <c r="F321" s="9" t="s">
        <v>418</v>
      </c>
      <c r="G321" s="9" t="s">
        <v>2181</v>
      </c>
      <c r="H321" s="9" t="s">
        <v>2182</v>
      </c>
      <c r="I321" s="9" t="s">
        <v>421</v>
      </c>
      <c r="J321" s="9" t="s">
        <v>231</v>
      </c>
      <c r="K321" s="9" t="s">
        <v>2183</v>
      </c>
      <c r="L321" s="9" t="s">
        <v>2184</v>
      </c>
      <c r="M321" s="9" t="s">
        <v>424</v>
      </c>
      <c r="N321" s="9" t="s">
        <v>2185</v>
      </c>
    </row>
    <row r="322" customFormat="false" ht="15" hidden="false" customHeight="true" outlineLevel="0" collapsed="false">
      <c r="A322" s="9" t="n">
        <v>318</v>
      </c>
      <c r="B322" s="9" t="s">
        <v>2186</v>
      </c>
      <c r="C322" s="9" t="s">
        <v>2187</v>
      </c>
      <c r="D322" s="9" t="s">
        <v>478</v>
      </c>
      <c r="E322" s="9" t="s">
        <v>817</v>
      </c>
      <c r="F322" s="9" t="s">
        <v>418</v>
      </c>
      <c r="G322" s="9" t="s">
        <v>2188</v>
      </c>
      <c r="H322" s="9" t="s">
        <v>2189</v>
      </c>
      <c r="I322" s="9" t="s">
        <v>421</v>
      </c>
      <c r="J322" s="9" t="s">
        <v>231</v>
      </c>
      <c r="K322" s="9" t="s">
        <v>2190</v>
      </c>
      <c r="L322" s="9" t="s">
        <v>2191</v>
      </c>
      <c r="M322" s="9" t="s">
        <v>424</v>
      </c>
      <c r="N322" s="9" t="s">
        <v>2192</v>
      </c>
    </row>
    <row r="323" customFormat="false" ht="15" hidden="false" customHeight="true" outlineLevel="0" collapsed="false">
      <c r="A323" s="9" t="n">
        <v>319</v>
      </c>
      <c r="B323" s="9" t="s">
        <v>2193</v>
      </c>
      <c r="C323" s="9" t="s">
        <v>2167</v>
      </c>
      <c r="D323" s="9" t="s">
        <v>427</v>
      </c>
      <c r="E323" s="9" t="s">
        <v>1547</v>
      </c>
      <c r="F323" s="9" t="s">
        <v>418</v>
      </c>
      <c r="G323" s="9" t="s">
        <v>2194</v>
      </c>
      <c r="H323" s="9" t="s">
        <v>2195</v>
      </c>
      <c r="I323" s="9" t="s">
        <v>421</v>
      </c>
      <c r="J323" s="9" t="s">
        <v>231</v>
      </c>
      <c r="K323" s="9" t="s">
        <v>2196</v>
      </c>
      <c r="L323" s="9" t="s">
        <v>2197</v>
      </c>
      <c r="M323" s="9" t="s">
        <v>424</v>
      </c>
      <c r="N323" s="9" t="s">
        <v>2198</v>
      </c>
    </row>
    <row r="324" customFormat="false" ht="15" hidden="false" customHeight="true" outlineLevel="0" collapsed="false">
      <c r="A324" s="9" t="n">
        <v>320</v>
      </c>
      <c r="B324" s="9" t="s">
        <v>2199</v>
      </c>
      <c r="C324" s="9" t="s">
        <v>2200</v>
      </c>
      <c r="D324" s="9" t="s">
        <v>427</v>
      </c>
      <c r="E324" s="9" t="s">
        <v>846</v>
      </c>
      <c r="F324" s="9" t="s">
        <v>418</v>
      </c>
      <c r="G324" s="9" t="s">
        <v>2201</v>
      </c>
      <c r="H324" s="9" t="s">
        <v>2202</v>
      </c>
      <c r="I324" s="9" t="s">
        <v>421</v>
      </c>
      <c r="J324" s="9" t="s">
        <v>231</v>
      </c>
      <c r="K324" s="9" t="s">
        <v>2203</v>
      </c>
      <c r="L324" s="9" t="s">
        <v>2204</v>
      </c>
      <c r="M324" s="9" t="s">
        <v>424</v>
      </c>
      <c r="N324" s="9" t="s">
        <v>2205</v>
      </c>
    </row>
    <row r="325" customFormat="false" ht="15" hidden="false" customHeight="true" outlineLevel="0" collapsed="false">
      <c r="A325" s="9" t="n">
        <v>321</v>
      </c>
      <c r="B325" s="9" t="s">
        <v>2206</v>
      </c>
      <c r="C325" s="9" t="s">
        <v>2207</v>
      </c>
      <c r="D325" s="9" t="s">
        <v>68</v>
      </c>
      <c r="E325" s="9" t="s">
        <v>2208</v>
      </c>
      <c r="F325" s="9" t="s">
        <v>20</v>
      </c>
      <c r="G325" s="9" t="s">
        <v>2209</v>
      </c>
      <c r="H325" s="9" t="s">
        <v>22</v>
      </c>
      <c r="I325" s="9" t="s">
        <v>421</v>
      </c>
      <c r="J325" s="9" t="s">
        <v>231</v>
      </c>
      <c r="K325" s="9" t="s">
        <v>2210</v>
      </c>
      <c r="L325" s="9" t="s">
        <v>2211</v>
      </c>
      <c r="M325" s="9" t="s">
        <v>424</v>
      </c>
      <c r="N325" s="9" t="s">
        <v>2212</v>
      </c>
    </row>
    <row r="326" customFormat="false" ht="15" hidden="false" customHeight="true" outlineLevel="0" collapsed="false">
      <c r="A326" s="9" t="n">
        <v>322</v>
      </c>
      <c r="B326" s="9" t="s">
        <v>2213</v>
      </c>
      <c r="C326" s="9" t="s">
        <v>2214</v>
      </c>
      <c r="D326" s="9" t="s">
        <v>68</v>
      </c>
      <c r="E326" s="9" t="s">
        <v>2215</v>
      </c>
      <c r="F326" s="9" t="s">
        <v>20</v>
      </c>
      <c r="G326" s="9" t="s">
        <v>2216</v>
      </c>
      <c r="H326" s="9" t="s">
        <v>22</v>
      </c>
      <c r="I326" s="9" t="s">
        <v>421</v>
      </c>
      <c r="J326" s="9" t="s">
        <v>231</v>
      </c>
      <c r="K326" s="9" t="s">
        <v>2217</v>
      </c>
      <c r="L326" s="9" t="s">
        <v>2218</v>
      </c>
      <c r="M326" s="9" t="s">
        <v>424</v>
      </c>
      <c r="N326" s="9" t="s">
        <v>2219</v>
      </c>
    </row>
    <row r="327" customFormat="false" ht="15" hidden="false" customHeight="true" outlineLevel="0" collapsed="false">
      <c r="A327" s="9" t="n">
        <v>323</v>
      </c>
      <c r="B327" s="9" t="s">
        <v>2220</v>
      </c>
      <c r="C327" s="9" t="s">
        <v>2221</v>
      </c>
      <c r="D327" s="9" t="s">
        <v>31</v>
      </c>
      <c r="E327" s="9" t="s">
        <v>2222</v>
      </c>
      <c r="F327" s="9" t="s">
        <v>20</v>
      </c>
      <c r="G327" s="9" t="s">
        <v>2223</v>
      </c>
      <c r="H327" s="9" t="s">
        <v>22</v>
      </c>
      <c r="I327" s="9" t="s">
        <v>421</v>
      </c>
      <c r="J327" s="9" t="s">
        <v>231</v>
      </c>
      <c r="K327" s="9" t="s">
        <v>2224</v>
      </c>
      <c r="L327" s="9" t="s">
        <v>2225</v>
      </c>
      <c r="M327" s="9" t="s">
        <v>424</v>
      </c>
      <c r="N327" s="9" t="s">
        <v>2226</v>
      </c>
    </row>
    <row r="328" customFormat="false" ht="15" hidden="false" customHeight="true" outlineLevel="0" collapsed="false">
      <c r="A328" s="9" t="n">
        <v>324</v>
      </c>
      <c r="B328" s="9" t="s">
        <v>2227</v>
      </c>
      <c r="C328" s="9" t="s">
        <v>2228</v>
      </c>
      <c r="D328" s="9" t="s">
        <v>77</v>
      </c>
      <c r="E328" s="9" t="s">
        <v>2229</v>
      </c>
      <c r="F328" s="9" t="s">
        <v>2230</v>
      </c>
      <c r="G328" s="9" t="s">
        <v>2231</v>
      </c>
      <c r="H328" s="9" t="s">
        <v>22</v>
      </c>
      <c r="I328" s="9" t="s">
        <v>421</v>
      </c>
      <c r="J328" s="9" t="s">
        <v>231</v>
      </c>
      <c r="K328" s="9" t="s">
        <v>2232</v>
      </c>
      <c r="L328" s="9" t="s">
        <v>2233</v>
      </c>
      <c r="M328" s="9" t="s">
        <v>424</v>
      </c>
      <c r="N328" s="9" t="s">
        <v>2234</v>
      </c>
    </row>
    <row r="329" customFormat="false" ht="15" hidden="false" customHeight="true" outlineLevel="0" collapsed="false">
      <c r="A329" s="9" t="n">
        <v>325</v>
      </c>
      <c r="B329" s="9" t="s">
        <v>2235</v>
      </c>
      <c r="C329" s="9" t="s">
        <v>203</v>
      </c>
      <c r="D329" s="9" t="s">
        <v>31</v>
      </c>
      <c r="E329" s="9" t="s">
        <v>2236</v>
      </c>
      <c r="F329" s="9" t="s">
        <v>2230</v>
      </c>
      <c r="G329" s="9" t="s">
        <v>2237</v>
      </c>
      <c r="H329" s="9" t="s">
        <v>22</v>
      </c>
      <c r="I329" s="9" t="s">
        <v>421</v>
      </c>
      <c r="J329" s="9" t="s">
        <v>231</v>
      </c>
      <c r="K329" s="9" t="s">
        <v>2238</v>
      </c>
      <c r="L329" s="9" t="s">
        <v>2239</v>
      </c>
      <c r="M329" s="9" t="s">
        <v>424</v>
      </c>
      <c r="N329" s="9" t="s">
        <v>2240</v>
      </c>
    </row>
    <row r="330" customFormat="false" ht="15" hidden="false" customHeight="true" outlineLevel="0" collapsed="false">
      <c r="A330" s="9" t="n">
        <v>326</v>
      </c>
      <c r="B330" s="9" t="s">
        <v>2241</v>
      </c>
      <c r="C330" s="9" t="s">
        <v>1234</v>
      </c>
      <c r="D330" s="9" t="s">
        <v>18</v>
      </c>
      <c r="E330" s="9" t="s">
        <v>2242</v>
      </c>
      <c r="F330" s="9" t="s">
        <v>33</v>
      </c>
      <c r="G330" s="9" t="s">
        <v>1235</v>
      </c>
      <c r="H330" s="9" t="s">
        <v>2243</v>
      </c>
      <c r="I330" s="9" t="s">
        <v>54</v>
      </c>
      <c r="J330" s="9" t="s">
        <v>231</v>
      </c>
      <c r="K330" s="9" t="s">
        <v>2244</v>
      </c>
      <c r="L330" s="9" t="s">
        <v>2245</v>
      </c>
      <c r="M330" s="9" t="s">
        <v>424</v>
      </c>
      <c r="N330" s="9" t="s">
        <v>2246</v>
      </c>
    </row>
    <row r="331" customFormat="false" ht="15" hidden="false" customHeight="true" outlineLevel="0" collapsed="false">
      <c r="A331" s="9" t="n">
        <v>327</v>
      </c>
      <c r="B331" s="9" t="s">
        <v>648</v>
      </c>
      <c r="C331" s="9" t="s">
        <v>649</v>
      </c>
      <c r="D331" s="9" t="s">
        <v>18</v>
      </c>
      <c r="E331" s="9" t="s">
        <v>2247</v>
      </c>
      <c r="F331" s="9" t="s">
        <v>33</v>
      </c>
      <c r="G331" s="9" t="s">
        <v>650</v>
      </c>
      <c r="H331" s="9" t="s">
        <v>2243</v>
      </c>
      <c r="I331" s="9" t="s">
        <v>421</v>
      </c>
      <c r="J331" s="9" t="s">
        <v>231</v>
      </c>
      <c r="K331" s="9" t="s">
        <v>2248</v>
      </c>
      <c r="L331" s="9" t="s">
        <v>2249</v>
      </c>
      <c r="M331" s="9" t="s">
        <v>424</v>
      </c>
      <c r="N331" s="9" t="s">
        <v>2250</v>
      </c>
    </row>
    <row r="332" customFormat="false" ht="15" hidden="false" customHeight="true" outlineLevel="0" collapsed="false">
      <c r="A332" s="9" t="n">
        <v>328</v>
      </c>
      <c r="B332" s="9" t="s">
        <v>2251</v>
      </c>
      <c r="C332" s="9" t="s">
        <v>2252</v>
      </c>
      <c r="D332" s="9" t="s">
        <v>18</v>
      </c>
      <c r="E332" s="9" t="s">
        <v>2253</v>
      </c>
      <c r="F332" s="9" t="s">
        <v>33</v>
      </c>
      <c r="G332" s="9" t="s">
        <v>2254</v>
      </c>
      <c r="H332" s="9" t="s">
        <v>2255</v>
      </c>
      <c r="I332" s="9" t="s">
        <v>2256</v>
      </c>
      <c r="J332" s="9" t="s">
        <v>231</v>
      </c>
      <c r="K332" s="9" t="s">
        <v>2257</v>
      </c>
      <c r="L332" s="9" t="s">
        <v>2258</v>
      </c>
      <c r="M332" s="9" t="s">
        <v>424</v>
      </c>
      <c r="N332" s="9" t="s">
        <v>2259</v>
      </c>
    </row>
    <row r="333" customFormat="false" ht="15" hidden="false" customHeight="true" outlineLevel="0" collapsed="false">
      <c r="A333" s="9" t="n">
        <v>329</v>
      </c>
      <c r="B333" s="9" t="s">
        <v>2260</v>
      </c>
      <c r="C333" s="9" t="s">
        <v>2261</v>
      </c>
      <c r="D333" s="9" t="s">
        <v>291</v>
      </c>
      <c r="E333" s="9" t="s">
        <v>2262</v>
      </c>
      <c r="F333" s="9" t="s">
        <v>2230</v>
      </c>
      <c r="G333" s="9" t="s">
        <v>2263</v>
      </c>
      <c r="H333" s="9" t="s">
        <v>2243</v>
      </c>
      <c r="I333" s="9" t="s">
        <v>421</v>
      </c>
      <c r="J333" s="9" t="s">
        <v>231</v>
      </c>
      <c r="K333" s="9" t="s">
        <v>2264</v>
      </c>
      <c r="L333" s="9" t="s">
        <v>2265</v>
      </c>
      <c r="M333" s="9" t="s">
        <v>424</v>
      </c>
      <c r="N333" s="9" t="s">
        <v>2266</v>
      </c>
    </row>
    <row r="334" customFormat="false" ht="15" hidden="false" customHeight="true" outlineLevel="0" collapsed="false">
      <c r="A334" s="9" t="n">
        <v>330</v>
      </c>
      <c r="B334" s="9" t="s">
        <v>2267</v>
      </c>
      <c r="C334" s="9" t="s">
        <v>2268</v>
      </c>
      <c r="D334" s="9" t="s">
        <v>291</v>
      </c>
      <c r="E334" s="9" t="s">
        <v>2269</v>
      </c>
      <c r="F334" s="9" t="s">
        <v>2230</v>
      </c>
      <c r="G334" s="9" t="s">
        <v>2270</v>
      </c>
      <c r="H334" s="9" t="s">
        <v>2243</v>
      </c>
      <c r="I334" s="9" t="s">
        <v>421</v>
      </c>
      <c r="J334" s="9" t="s">
        <v>231</v>
      </c>
      <c r="K334" s="9" t="s">
        <v>2271</v>
      </c>
      <c r="L334" s="9" t="s">
        <v>2272</v>
      </c>
      <c r="M334" s="9" t="s">
        <v>424</v>
      </c>
      <c r="N334" s="9" t="s">
        <v>2273</v>
      </c>
    </row>
    <row r="335" customFormat="false" ht="15" hidden="false" customHeight="true" outlineLevel="0" collapsed="false">
      <c r="A335" s="9" t="n">
        <v>331</v>
      </c>
      <c r="B335" s="9" t="s">
        <v>2274</v>
      </c>
      <c r="C335" s="9" t="s">
        <v>1051</v>
      </c>
      <c r="D335" s="9" t="s">
        <v>291</v>
      </c>
      <c r="E335" s="9" t="s">
        <v>2269</v>
      </c>
      <c r="F335" s="9" t="s">
        <v>2230</v>
      </c>
      <c r="G335" s="9" t="s">
        <v>1052</v>
      </c>
      <c r="H335" s="9" t="s">
        <v>2243</v>
      </c>
      <c r="I335" s="9" t="s">
        <v>421</v>
      </c>
      <c r="J335" s="9" t="s">
        <v>231</v>
      </c>
      <c r="K335" s="9" t="s">
        <v>2275</v>
      </c>
      <c r="L335" s="9" t="s">
        <v>2276</v>
      </c>
      <c r="M335" s="9" t="s">
        <v>424</v>
      </c>
      <c r="N335" s="9" t="s">
        <v>2277</v>
      </c>
    </row>
    <row r="336" customFormat="false" ht="15" hidden="false" customHeight="true" outlineLevel="0" collapsed="false">
      <c r="A336" s="9" t="n">
        <v>332</v>
      </c>
      <c r="B336" s="9" t="s">
        <v>2278</v>
      </c>
      <c r="C336" s="9" t="s">
        <v>2279</v>
      </c>
      <c r="D336" s="9" t="s">
        <v>291</v>
      </c>
      <c r="E336" s="9" t="s">
        <v>2280</v>
      </c>
      <c r="F336" s="9" t="s">
        <v>33</v>
      </c>
      <c r="G336" s="9" t="s">
        <v>2281</v>
      </c>
      <c r="H336" s="9" t="s">
        <v>2243</v>
      </c>
      <c r="I336" s="9" t="s">
        <v>54</v>
      </c>
      <c r="J336" s="9" t="s">
        <v>231</v>
      </c>
      <c r="K336" s="9" t="s">
        <v>2282</v>
      </c>
      <c r="L336" s="9" t="s">
        <v>2283</v>
      </c>
      <c r="M336" s="9" t="s">
        <v>424</v>
      </c>
      <c r="N336" s="9" t="s">
        <v>2284</v>
      </c>
    </row>
    <row r="337" customFormat="false" ht="15" hidden="false" customHeight="true" outlineLevel="0" collapsed="false">
      <c r="A337" s="9" t="n">
        <v>333</v>
      </c>
      <c r="B337" s="9" t="s">
        <v>2285</v>
      </c>
      <c r="C337" s="9" t="s">
        <v>2286</v>
      </c>
      <c r="D337" s="9" t="s">
        <v>68</v>
      </c>
      <c r="E337" s="9" t="s">
        <v>2287</v>
      </c>
      <c r="F337" s="9" t="s">
        <v>98</v>
      </c>
      <c r="G337" s="9" t="s">
        <v>2288</v>
      </c>
      <c r="H337" s="9" t="s">
        <v>2243</v>
      </c>
      <c r="I337" s="9" t="s">
        <v>421</v>
      </c>
      <c r="J337" s="9" t="s">
        <v>231</v>
      </c>
      <c r="K337" s="9" t="s">
        <v>2289</v>
      </c>
      <c r="L337" s="9" t="s">
        <v>2290</v>
      </c>
      <c r="M337" s="9" t="s">
        <v>2291</v>
      </c>
      <c r="N337" s="9" t="s">
        <v>2292</v>
      </c>
    </row>
    <row r="338" customFormat="false" ht="15" hidden="false" customHeight="true" outlineLevel="0" collapsed="false">
      <c r="A338" s="9" t="n">
        <v>334</v>
      </c>
      <c r="B338" s="9" t="s">
        <v>2293</v>
      </c>
      <c r="C338" s="9" t="s">
        <v>2294</v>
      </c>
      <c r="D338" s="9" t="s">
        <v>68</v>
      </c>
      <c r="E338" s="9" t="s">
        <v>2295</v>
      </c>
      <c r="F338" s="9" t="s">
        <v>33</v>
      </c>
      <c r="G338" s="9" t="s">
        <v>2296</v>
      </c>
      <c r="H338" s="9" t="s">
        <v>2243</v>
      </c>
      <c r="I338" s="9" t="s">
        <v>421</v>
      </c>
      <c r="J338" s="9" t="s">
        <v>231</v>
      </c>
      <c r="K338" s="9" t="s">
        <v>2297</v>
      </c>
      <c r="L338" s="9" t="s">
        <v>2298</v>
      </c>
      <c r="M338" s="9" t="s">
        <v>424</v>
      </c>
      <c r="N338" s="9" t="s">
        <v>2299</v>
      </c>
    </row>
    <row r="339" customFormat="false" ht="15" hidden="false" customHeight="true" outlineLevel="0" collapsed="false">
      <c r="A339" s="9" t="n">
        <v>335</v>
      </c>
      <c r="B339" s="9" t="s">
        <v>2300</v>
      </c>
      <c r="C339" s="9" t="s">
        <v>2301</v>
      </c>
      <c r="D339" s="9" t="s">
        <v>68</v>
      </c>
      <c r="E339" s="9" t="s">
        <v>2302</v>
      </c>
      <c r="F339" s="9" t="s">
        <v>33</v>
      </c>
      <c r="G339" s="9" t="s">
        <v>2303</v>
      </c>
      <c r="H339" s="9" t="s">
        <v>2243</v>
      </c>
      <c r="I339" s="9" t="s">
        <v>54</v>
      </c>
      <c r="J339" s="9" t="s">
        <v>231</v>
      </c>
      <c r="K339" s="9" t="s">
        <v>2304</v>
      </c>
      <c r="L339" s="9" t="s">
        <v>2305</v>
      </c>
      <c r="M339" s="9" t="s">
        <v>424</v>
      </c>
      <c r="N339" s="9" t="s">
        <v>2306</v>
      </c>
    </row>
    <row r="340" customFormat="false" ht="15" hidden="false" customHeight="true" outlineLevel="0" collapsed="false">
      <c r="A340" s="9" t="n">
        <v>336</v>
      </c>
      <c r="B340" s="9" t="s">
        <v>2307</v>
      </c>
      <c r="C340" s="9" t="s">
        <v>815</v>
      </c>
      <c r="D340" s="9" t="s">
        <v>68</v>
      </c>
      <c r="E340" s="9" t="s">
        <v>2308</v>
      </c>
      <c r="F340" s="9" t="s">
        <v>33</v>
      </c>
      <c r="G340" s="9" t="s">
        <v>818</v>
      </c>
      <c r="H340" s="9" t="s">
        <v>2243</v>
      </c>
      <c r="I340" s="9" t="s">
        <v>54</v>
      </c>
      <c r="J340" s="9" t="s">
        <v>231</v>
      </c>
      <c r="K340" s="9" t="s">
        <v>2309</v>
      </c>
      <c r="L340" s="9" t="s">
        <v>2310</v>
      </c>
      <c r="M340" s="9" t="s">
        <v>424</v>
      </c>
      <c r="N340" s="9" t="s">
        <v>2311</v>
      </c>
    </row>
    <row r="341" customFormat="false" ht="15" hidden="false" customHeight="true" outlineLevel="0" collapsed="false">
      <c r="A341" s="9" t="n">
        <v>337</v>
      </c>
      <c r="B341" s="9" t="s">
        <v>2312</v>
      </c>
      <c r="C341" s="9" t="s">
        <v>2313</v>
      </c>
      <c r="D341" s="9" t="s">
        <v>68</v>
      </c>
      <c r="E341" s="9" t="s">
        <v>2314</v>
      </c>
      <c r="F341" s="9" t="s">
        <v>2315</v>
      </c>
      <c r="G341" s="9" t="s">
        <v>2316</v>
      </c>
      <c r="H341" s="9" t="s">
        <v>2243</v>
      </c>
      <c r="I341" s="9" t="s">
        <v>421</v>
      </c>
      <c r="J341" s="9" t="s">
        <v>231</v>
      </c>
      <c r="K341" s="9" t="s">
        <v>2317</v>
      </c>
      <c r="L341" s="9" t="s">
        <v>2318</v>
      </c>
      <c r="M341" s="9" t="s">
        <v>424</v>
      </c>
      <c r="N341" s="9" t="s">
        <v>2319</v>
      </c>
    </row>
    <row r="342" customFormat="false" ht="15" hidden="false" customHeight="true" outlineLevel="0" collapsed="false">
      <c r="A342" s="9" t="n">
        <v>338</v>
      </c>
      <c r="B342" s="9" t="s">
        <v>2320</v>
      </c>
      <c r="C342" s="9" t="s">
        <v>157</v>
      </c>
      <c r="D342" s="9" t="s">
        <v>68</v>
      </c>
      <c r="E342" s="9" t="s">
        <v>2321</v>
      </c>
      <c r="F342" s="9" t="s">
        <v>51</v>
      </c>
      <c r="G342" s="9" t="s">
        <v>2322</v>
      </c>
      <c r="H342" s="9" t="s">
        <v>2243</v>
      </c>
      <c r="I342" s="9" t="s">
        <v>54</v>
      </c>
      <c r="J342" s="9" t="s">
        <v>231</v>
      </c>
      <c r="K342" s="9" t="s">
        <v>2323</v>
      </c>
      <c r="L342" s="9" t="s">
        <v>2324</v>
      </c>
      <c r="M342" s="9" t="s">
        <v>424</v>
      </c>
      <c r="N342" s="9" t="s">
        <v>2325</v>
      </c>
    </row>
    <row r="343" customFormat="false" ht="15" hidden="false" customHeight="true" outlineLevel="0" collapsed="false">
      <c r="A343" s="9" t="n">
        <v>339</v>
      </c>
      <c r="B343" s="9" t="s">
        <v>2326</v>
      </c>
      <c r="C343" s="9" t="s">
        <v>2327</v>
      </c>
      <c r="D343" s="9" t="s">
        <v>68</v>
      </c>
      <c r="E343" s="9" t="s">
        <v>2328</v>
      </c>
      <c r="F343" s="9" t="s">
        <v>98</v>
      </c>
      <c r="G343" s="9" t="s">
        <v>2329</v>
      </c>
      <c r="H343" s="9" t="s">
        <v>2243</v>
      </c>
      <c r="I343" s="9" t="s">
        <v>54</v>
      </c>
      <c r="J343" s="9" t="s">
        <v>231</v>
      </c>
      <c r="K343" s="9" t="s">
        <v>2330</v>
      </c>
      <c r="L343" s="9" t="s">
        <v>2331</v>
      </c>
      <c r="M343" s="9" t="s">
        <v>424</v>
      </c>
      <c r="N343" s="9" t="s">
        <v>2332</v>
      </c>
    </row>
    <row r="344" customFormat="false" ht="15" hidden="false" customHeight="true" outlineLevel="0" collapsed="false">
      <c r="A344" s="9" t="n">
        <v>340</v>
      </c>
      <c r="B344" s="9" t="s">
        <v>2333</v>
      </c>
      <c r="C344" s="9" t="s">
        <v>2334</v>
      </c>
      <c r="D344" s="9" t="s">
        <v>77</v>
      </c>
      <c r="E344" s="9" t="s">
        <v>2335</v>
      </c>
      <c r="F344" s="9" t="s">
        <v>79</v>
      </c>
      <c r="G344" s="9" t="s">
        <v>2336</v>
      </c>
      <c r="H344" s="9" t="s">
        <v>2243</v>
      </c>
      <c r="I344" s="9" t="s">
        <v>421</v>
      </c>
      <c r="J344" s="9" t="s">
        <v>231</v>
      </c>
      <c r="K344" s="9" t="s">
        <v>2337</v>
      </c>
      <c r="L344" s="9" t="s">
        <v>2338</v>
      </c>
      <c r="M344" s="9" t="s">
        <v>424</v>
      </c>
      <c r="N344" s="9" t="s">
        <v>2339</v>
      </c>
    </row>
    <row r="345" customFormat="false" ht="15" hidden="false" customHeight="true" outlineLevel="0" collapsed="false">
      <c r="A345" s="9" t="n">
        <v>341</v>
      </c>
      <c r="B345" s="9" t="s">
        <v>2340</v>
      </c>
      <c r="C345" s="9" t="s">
        <v>2341</v>
      </c>
      <c r="D345" s="9" t="s">
        <v>77</v>
      </c>
      <c r="E345" s="9" t="s">
        <v>2342</v>
      </c>
      <c r="F345" s="9" t="s">
        <v>33</v>
      </c>
      <c r="G345" s="9" t="s">
        <v>2343</v>
      </c>
      <c r="H345" s="9" t="s">
        <v>2243</v>
      </c>
      <c r="I345" s="9" t="s">
        <v>421</v>
      </c>
      <c r="J345" s="9" t="s">
        <v>231</v>
      </c>
      <c r="K345" s="9" t="s">
        <v>2344</v>
      </c>
      <c r="L345" s="9" t="s">
        <v>2345</v>
      </c>
      <c r="M345" s="9" t="s">
        <v>424</v>
      </c>
      <c r="N345" s="9" t="s">
        <v>2346</v>
      </c>
    </row>
    <row r="346" customFormat="false" ht="15" hidden="false" customHeight="true" outlineLevel="0" collapsed="false">
      <c r="A346" s="9" t="n">
        <v>342</v>
      </c>
      <c r="B346" s="9" t="s">
        <v>2347</v>
      </c>
      <c r="C346" s="9" t="s">
        <v>2348</v>
      </c>
      <c r="D346" s="9" t="s">
        <v>77</v>
      </c>
      <c r="E346" s="9" t="s">
        <v>2349</v>
      </c>
      <c r="F346" s="9" t="s">
        <v>2350</v>
      </c>
      <c r="G346" s="9" t="s">
        <v>2351</v>
      </c>
      <c r="H346" s="9" t="s">
        <v>2243</v>
      </c>
      <c r="I346" s="9" t="s">
        <v>421</v>
      </c>
      <c r="J346" s="9" t="s">
        <v>231</v>
      </c>
      <c r="K346" s="9" t="s">
        <v>2352</v>
      </c>
      <c r="L346" s="9" t="s">
        <v>2353</v>
      </c>
      <c r="M346" s="9" t="s">
        <v>368</v>
      </c>
      <c r="N346" s="9" t="s">
        <v>2354</v>
      </c>
    </row>
    <row r="347" customFormat="false" ht="15" hidden="false" customHeight="true" outlineLevel="0" collapsed="false">
      <c r="A347" s="9" t="n">
        <v>343</v>
      </c>
      <c r="B347" s="9" t="s">
        <v>2355</v>
      </c>
      <c r="C347" s="9" t="s">
        <v>618</v>
      </c>
      <c r="D347" s="9" t="s">
        <v>77</v>
      </c>
      <c r="E347" s="9" t="s">
        <v>2356</v>
      </c>
      <c r="F347" s="9" t="s">
        <v>33</v>
      </c>
      <c r="G347" s="9" t="s">
        <v>619</v>
      </c>
      <c r="H347" s="9" t="s">
        <v>2243</v>
      </c>
      <c r="I347" s="9" t="s">
        <v>421</v>
      </c>
      <c r="J347" s="9" t="s">
        <v>231</v>
      </c>
      <c r="K347" s="9" t="s">
        <v>2357</v>
      </c>
      <c r="L347" s="9" t="s">
        <v>2358</v>
      </c>
      <c r="M347" s="9" t="s">
        <v>424</v>
      </c>
      <c r="N347" s="9" t="s">
        <v>2359</v>
      </c>
    </row>
    <row r="348" customFormat="false" ht="15" hidden="false" customHeight="true" outlineLevel="0" collapsed="false">
      <c r="A348" s="9" t="n">
        <v>344</v>
      </c>
      <c r="B348" s="9" t="s">
        <v>2360</v>
      </c>
      <c r="C348" s="9" t="s">
        <v>2361</v>
      </c>
      <c r="D348" s="9" t="s">
        <v>49</v>
      </c>
      <c r="E348" s="9" t="s">
        <v>2362</v>
      </c>
      <c r="F348" s="9" t="s">
        <v>33</v>
      </c>
      <c r="G348" s="9" t="s">
        <v>2363</v>
      </c>
      <c r="H348" s="9" t="s">
        <v>2243</v>
      </c>
      <c r="I348" s="9" t="s">
        <v>54</v>
      </c>
      <c r="J348" s="9" t="s">
        <v>231</v>
      </c>
      <c r="K348" s="9" t="s">
        <v>2364</v>
      </c>
      <c r="L348" s="9" t="s">
        <v>2365</v>
      </c>
      <c r="M348" s="9" t="s">
        <v>424</v>
      </c>
      <c r="N348" s="9" t="s">
        <v>2366</v>
      </c>
    </row>
    <row r="349" customFormat="false" ht="15" hidden="false" customHeight="true" outlineLevel="0" collapsed="false">
      <c r="A349" s="9" t="n">
        <v>345</v>
      </c>
      <c r="B349" s="9" t="s">
        <v>2367</v>
      </c>
      <c r="C349" s="9" t="s">
        <v>2368</v>
      </c>
      <c r="D349" s="9" t="s">
        <v>49</v>
      </c>
      <c r="E349" s="9" t="s">
        <v>2369</v>
      </c>
      <c r="F349" s="9" t="s">
        <v>33</v>
      </c>
      <c r="G349" s="9" t="s">
        <v>2370</v>
      </c>
      <c r="H349" s="9" t="s">
        <v>2243</v>
      </c>
      <c r="I349" s="9" t="s">
        <v>421</v>
      </c>
      <c r="J349" s="9" t="s">
        <v>231</v>
      </c>
      <c r="K349" s="9" t="s">
        <v>2371</v>
      </c>
      <c r="L349" s="9" t="s">
        <v>2372</v>
      </c>
      <c r="M349" s="9" t="s">
        <v>424</v>
      </c>
      <c r="N349" s="9" t="s">
        <v>2373</v>
      </c>
    </row>
    <row r="350" customFormat="false" ht="15" hidden="false" customHeight="true" outlineLevel="0" collapsed="false">
      <c r="A350" s="9" t="n">
        <v>346</v>
      </c>
      <c r="B350" s="9" t="s">
        <v>2374</v>
      </c>
      <c r="C350" s="9" t="s">
        <v>2375</v>
      </c>
      <c r="D350" s="9" t="s">
        <v>49</v>
      </c>
      <c r="E350" s="9" t="s">
        <v>2376</v>
      </c>
      <c r="F350" s="9" t="s">
        <v>33</v>
      </c>
      <c r="G350" s="9" t="s">
        <v>1820</v>
      </c>
      <c r="H350" s="9" t="s">
        <v>2243</v>
      </c>
      <c r="I350" s="9" t="s">
        <v>421</v>
      </c>
      <c r="J350" s="9" t="s">
        <v>231</v>
      </c>
      <c r="K350" s="9" t="s">
        <v>2377</v>
      </c>
      <c r="L350" s="9" t="s">
        <v>2378</v>
      </c>
      <c r="M350" s="9" t="s">
        <v>522</v>
      </c>
      <c r="N350" s="9" t="s">
        <v>1824</v>
      </c>
    </row>
    <row r="351" customFormat="false" ht="15" hidden="false" customHeight="true" outlineLevel="0" collapsed="false">
      <c r="A351" s="9" t="n">
        <v>347</v>
      </c>
      <c r="B351" s="9" t="s">
        <v>2379</v>
      </c>
      <c r="C351" s="9" t="s">
        <v>2380</v>
      </c>
      <c r="D351" s="9" t="s">
        <v>49</v>
      </c>
      <c r="E351" s="9" t="s">
        <v>2381</v>
      </c>
      <c r="F351" s="9" t="s">
        <v>33</v>
      </c>
      <c r="G351" s="9" t="s">
        <v>2382</v>
      </c>
      <c r="H351" s="9" t="s">
        <v>2243</v>
      </c>
      <c r="I351" s="9" t="s">
        <v>421</v>
      </c>
      <c r="J351" s="9" t="s">
        <v>231</v>
      </c>
      <c r="K351" s="9" t="s">
        <v>2383</v>
      </c>
      <c r="L351" s="9" t="s">
        <v>2384</v>
      </c>
      <c r="M351" s="9" t="s">
        <v>424</v>
      </c>
      <c r="N351" s="9" t="s">
        <v>2385</v>
      </c>
    </row>
    <row r="352" customFormat="false" ht="15" hidden="false" customHeight="true" outlineLevel="0" collapsed="false">
      <c r="A352" s="9" t="n">
        <v>348</v>
      </c>
      <c r="B352" s="9" t="s">
        <v>2386</v>
      </c>
      <c r="C352" s="9" t="s">
        <v>2387</v>
      </c>
      <c r="D352" s="9" t="s">
        <v>49</v>
      </c>
      <c r="E352" s="9" t="s">
        <v>2388</v>
      </c>
      <c r="F352" s="9" t="s">
        <v>33</v>
      </c>
      <c r="G352" s="9" t="s">
        <v>2389</v>
      </c>
      <c r="H352" s="9" t="s">
        <v>2243</v>
      </c>
      <c r="I352" s="9" t="s">
        <v>421</v>
      </c>
      <c r="J352" s="9" t="s">
        <v>231</v>
      </c>
      <c r="K352" s="9" t="s">
        <v>2390</v>
      </c>
      <c r="L352" s="9" t="s">
        <v>2391</v>
      </c>
      <c r="M352" s="9" t="s">
        <v>424</v>
      </c>
      <c r="N352" s="9" t="s">
        <v>2392</v>
      </c>
    </row>
    <row r="353" customFormat="false" ht="15" hidden="false" customHeight="true" outlineLevel="0" collapsed="false">
      <c r="A353" s="9" t="n">
        <v>349</v>
      </c>
      <c r="B353" s="9" t="s">
        <v>2393</v>
      </c>
      <c r="C353" s="9" t="s">
        <v>2394</v>
      </c>
      <c r="D353" s="9" t="s">
        <v>49</v>
      </c>
      <c r="E353" s="9" t="s">
        <v>2395</v>
      </c>
      <c r="F353" s="9" t="s">
        <v>33</v>
      </c>
      <c r="G353" s="9" t="s">
        <v>2396</v>
      </c>
      <c r="H353" s="9" t="s">
        <v>2243</v>
      </c>
      <c r="I353" s="9" t="s">
        <v>421</v>
      </c>
      <c r="J353" s="9" t="s">
        <v>231</v>
      </c>
      <c r="K353" s="9" t="s">
        <v>2397</v>
      </c>
      <c r="L353" s="9" t="s">
        <v>2398</v>
      </c>
      <c r="M353" s="9" t="s">
        <v>424</v>
      </c>
      <c r="N353" s="9" t="s">
        <v>2399</v>
      </c>
    </row>
    <row r="354" customFormat="false" ht="15" hidden="false" customHeight="true" outlineLevel="0" collapsed="false">
      <c r="A354" s="9" t="n">
        <v>350</v>
      </c>
      <c r="B354" s="9" t="s">
        <v>2400</v>
      </c>
      <c r="C354" s="9" t="s">
        <v>2401</v>
      </c>
      <c r="D354" s="9" t="s">
        <v>60</v>
      </c>
      <c r="E354" s="9" t="s">
        <v>2402</v>
      </c>
      <c r="F354" s="9" t="s">
        <v>79</v>
      </c>
      <c r="G354" s="9" t="s">
        <v>2403</v>
      </c>
      <c r="H354" s="9" t="s">
        <v>2243</v>
      </c>
      <c r="I354" s="9" t="s">
        <v>421</v>
      </c>
      <c r="J354" s="9" t="s">
        <v>231</v>
      </c>
      <c r="K354" s="9" t="s">
        <v>2404</v>
      </c>
      <c r="L354" s="9" t="s">
        <v>2405</v>
      </c>
      <c r="M354" s="9" t="s">
        <v>368</v>
      </c>
      <c r="N354" s="9" t="s">
        <v>2406</v>
      </c>
    </row>
    <row r="355" customFormat="false" ht="15" hidden="false" customHeight="true" outlineLevel="0" collapsed="false">
      <c r="A355" s="9" t="n">
        <v>351</v>
      </c>
      <c r="B355" s="9" t="s">
        <v>688</v>
      </c>
      <c r="C355" s="9" t="s">
        <v>689</v>
      </c>
      <c r="D355" s="9" t="s">
        <v>60</v>
      </c>
      <c r="E355" s="9" t="s">
        <v>2407</v>
      </c>
      <c r="F355" s="9" t="s">
        <v>33</v>
      </c>
      <c r="G355" s="9" t="s">
        <v>690</v>
      </c>
      <c r="H355" s="9" t="s">
        <v>2243</v>
      </c>
      <c r="I355" s="9" t="s">
        <v>421</v>
      </c>
      <c r="J355" s="9" t="s">
        <v>231</v>
      </c>
      <c r="K355" s="9" t="s">
        <v>2408</v>
      </c>
      <c r="L355" s="9" t="s">
        <v>2409</v>
      </c>
      <c r="M355" s="9" t="s">
        <v>424</v>
      </c>
      <c r="N355" s="9" t="s">
        <v>2410</v>
      </c>
    </row>
    <row r="356" customFormat="false" ht="15" hidden="false" customHeight="true" outlineLevel="0" collapsed="false">
      <c r="A356" s="9" t="n">
        <v>352</v>
      </c>
      <c r="B356" s="9" t="s">
        <v>2411</v>
      </c>
      <c r="C356" s="9" t="s">
        <v>2412</v>
      </c>
      <c r="D356" s="9" t="s">
        <v>60</v>
      </c>
      <c r="E356" s="9" t="s">
        <v>2413</v>
      </c>
      <c r="F356" s="9" t="s">
        <v>33</v>
      </c>
      <c r="G356" s="9" t="s">
        <v>2414</v>
      </c>
      <c r="H356" s="9" t="s">
        <v>2243</v>
      </c>
      <c r="I356" s="9" t="s">
        <v>54</v>
      </c>
      <c r="J356" s="9" t="s">
        <v>231</v>
      </c>
      <c r="K356" s="9" t="s">
        <v>2415</v>
      </c>
      <c r="L356" s="9" t="s">
        <v>2416</v>
      </c>
      <c r="M356" s="9" t="s">
        <v>424</v>
      </c>
      <c r="N356" s="9" t="s">
        <v>2417</v>
      </c>
    </row>
    <row r="357" customFormat="false" ht="15" hidden="false" customHeight="true" outlineLevel="0" collapsed="false">
      <c r="A357" s="9" t="n">
        <v>353</v>
      </c>
      <c r="B357" s="9" t="s">
        <v>2418</v>
      </c>
      <c r="C357" s="9" t="s">
        <v>2419</v>
      </c>
      <c r="D357" s="9" t="s">
        <v>60</v>
      </c>
      <c r="E357" s="9" t="s">
        <v>2420</v>
      </c>
      <c r="F357" s="9" t="s">
        <v>33</v>
      </c>
      <c r="G357" s="9" t="s">
        <v>2421</v>
      </c>
      <c r="H357" s="9" t="s">
        <v>2243</v>
      </c>
      <c r="I357" s="9" t="s">
        <v>54</v>
      </c>
      <c r="J357" s="9" t="s">
        <v>231</v>
      </c>
      <c r="K357" s="9" t="s">
        <v>2422</v>
      </c>
      <c r="L357" s="9" t="s">
        <v>2423</v>
      </c>
      <c r="M357" s="9" t="s">
        <v>424</v>
      </c>
      <c r="N357" s="9" t="s">
        <v>2424</v>
      </c>
    </row>
    <row r="358" customFormat="false" ht="15" hidden="false" customHeight="true" outlineLevel="0" collapsed="false">
      <c r="A358" s="9" t="n">
        <v>354</v>
      </c>
      <c r="B358" s="9" t="s">
        <v>2425</v>
      </c>
      <c r="C358" s="9" t="s">
        <v>2426</v>
      </c>
      <c r="D358" s="9" t="s">
        <v>60</v>
      </c>
      <c r="E358" s="9" t="s">
        <v>2427</v>
      </c>
      <c r="F358" s="9" t="s">
        <v>33</v>
      </c>
      <c r="G358" s="9" t="s">
        <v>2428</v>
      </c>
      <c r="H358" s="9" t="s">
        <v>2243</v>
      </c>
      <c r="I358" s="9" t="s">
        <v>54</v>
      </c>
      <c r="J358" s="9" t="s">
        <v>231</v>
      </c>
      <c r="K358" s="9" t="s">
        <v>2429</v>
      </c>
      <c r="L358" s="9" t="s">
        <v>2430</v>
      </c>
      <c r="M358" s="9" t="s">
        <v>424</v>
      </c>
      <c r="N358" s="9" t="s">
        <v>2431</v>
      </c>
    </row>
    <row r="359" customFormat="false" ht="15" hidden="false" customHeight="true" outlineLevel="0" collapsed="false">
      <c r="A359" s="9" t="n">
        <v>355</v>
      </c>
      <c r="B359" s="9" t="s">
        <v>2432</v>
      </c>
      <c r="C359" s="9" t="s">
        <v>2433</v>
      </c>
      <c r="D359" s="9" t="s">
        <v>41</v>
      </c>
      <c r="E359" s="9" t="s">
        <v>2369</v>
      </c>
      <c r="F359" s="9" t="s">
        <v>33</v>
      </c>
      <c r="G359" s="9" t="s">
        <v>2434</v>
      </c>
      <c r="H359" s="9" t="s">
        <v>2243</v>
      </c>
      <c r="I359" s="9" t="s">
        <v>421</v>
      </c>
      <c r="J359" s="9" t="s">
        <v>231</v>
      </c>
      <c r="K359" s="9" t="s">
        <v>2435</v>
      </c>
      <c r="L359" s="9" t="s">
        <v>2436</v>
      </c>
      <c r="M359" s="9" t="s">
        <v>424</v>
      </c>
      <c r="N359" s="9" t="s">
        <v>2437</v>
      </c>
    </row>
    <row r="360" customFormat="false" ht="15" hidden="false" customHeight="true" outlineLevel="0" collapsed="false">
      <c r="A360" s="9" t="n">
        <v>356</v>
      </c>
      <c r="B360" s="9" t="s">
        <v>2438</v>
      </c>
      <c r="C360" s="9" t="s">
        <v>2439</v>
      </c>
      <c r="D360" s="9" t="s">
        <v>41</v>
      </c>
      <c r="E360" s="9" t="s">
        <v>2440</v>
      </c>
      <c r="F360" s="9" t="s">
        <v>33</v>
      </c>
      <c r="G360" s="9" t="s">
        <v>2254</v>
      </c>
      <c r="H360" s="9" t="s">
        <v>2441</v>
      </c>
      <c r="I360" s="9" t="s">
        <v>2442</v>
      </c>
      <c r="J360" s="9" t="s">
        <v>231</v>
      </c>
      <c r="K360" s="9" t="s">
        <v>2443</v>
      </c>
      <c r="L360" s="9" t="s">
        <v>2444</v>
      </c>
      <c r="M360" s="9" t="s">
        <v>424</v>
      </c>
      <c r="N360" s="9" t="s">
        <v>2445</v>
      </c>
    </row>
    <row r="361" customFormat="false" ht="15" hidden="false" customHeight="true" outlineLevel="0" collapsed="false">
      <c r="A361" s="9" t="n">
        <v>357</v>
      </c>
      <c r="B361" s="9" t="s">
        <v>2446</v>
      </c>
      <c r="C361" s="9" t="s">
        <v>2447</v>
      </c>
      <c r="D361" s="9" t="s">
        <v>41</v>
      </c>
      <c r="E361" s="9" t="s">
        <v>2448</v>
      </c>
      <c r="F361" s="9" t="s">
        <v>33</v>
      </c>
      <c r="G361" s="9" t="s">
        <v>2254</v>
      </c>
      <c r="H361" s="9" t="s">
        <v>2449</v>
      </c>
      <c r="I361" s="9" t="s">
        <v>2450</v>
      </c>
      <c r="J361" s="9" t="s">
        <v>231</v>
      </c>
      <c r="K361" s="9" t="s">
        <v>2451</v>
      </c>
      <c r="L361" s="9" t="s">
        <v>2452</v>
      </c>
      <c r="M361" s="9" t="s">
        <v>424</v>
      </c>
      <c r="N361" s="9" t="s">
        <v>2453</v>
      </c>
    </row>
    <row r="362" customFormat="false" ht="15" hidden="false" customHeight="true" outlineLevel="0" collapsed="false">
      <c r="A362" s="9" t="n">
        <v>358</v>
      </c>
      <c r="B362" s="9" t="s">
        <v>2454</v>
      </c>
      <c r="C362" s="9" t="s">
        <v>2455</v>
      </c>
      <c r="D362" s="9" t="s">
        <v>41</v>
      </c>
      <c r="E362" s="9" t="s">
        <v>2456</v>
      </c>
      <c r="F362" s="9" t="s">
        <v>33</v>
      </c>
      <c r="G362" s="9" t="s">
        <v>2254</v>
      </c>
      <c r="H362" s="9" t="s">
        <v>2457</v>
      </c>
      <c r="I362" s="9" t="s">
        <v>2450</v>
      </c>
      <c r="J362" s="9" t="s">
        <v>231</v>
      </c>
      <c r="K362" s="9" t="s">
        <v>2458</v>
      </c>
      <c r="L362" s="9" t="s">
        <v>2459</v>
      </c>
      <c r="M362" s="9" t="s">
        <v>424</v>
      </c>
      <c r="N362" s="9" t="s">
        <v>2460</v>
      </c>
    </row>
    <row r="363" customFormat="false" ht="15" hidden="false" customHeight="true" outlineLevel="0" collapsed="false">
      <c r="A363" s="9" t="n">
        <v>359</v>
      </c>
      <c r="B363" s="9" t="s">
        <v>2461</v>
      </c>
      <c r="C363" s="9" t="s">
        <v>1266</v>
      </c>
      <c r="D363" s="9" t="s">
        <v>291</v>
      </c>
      <c r="E363" s="9" t="s">
        <v>2462</v>
      </c>
      <c r="F363" s="9" t="s">
        <v>33</v>
      </c>
      <c r="G363" s="9" t="s">
        <v>1267</v>
      </c>
      <c r="H363" s="9" t="s">
        <v>2243</v>
      </c>
      <c r="I363" s="9" t="s">
        <v>421</v>
      </c>
      <c r="J363" s="9" t="s">
        <v>231</v>
      </c>
      <c r="K363" s="9" t="s">
        <v>2463</v>
      </c>
      <c r="L363" s="9" t="s">
        <v>2464</v>
      </c>
      <c r="M363" s="9" t="s">
        <v>424</v>
      </c>
      <c r="N363" s="9" t="s">
        <v>2465</v>
      </c>
    </row>
    <row r="364" customFormat="false" ht="15" hidden="false" customHeight="true" outlineLevel="0" collapsed="false">
      <c r="A364" s="9" t="n">
        <v>360</v>
      </c>
      <c r="B364" s="9" t="s">
        <v>972</v>
      </c>
      <c r="C364" s="9" t="s">
        <v>2466</v>
      </c>
      <c r="D364" s="9" t="s">
        <v>291</v>
      </c>
      <c r="E364" s="9" t="s">
        <v>2467</v>
      </c>
      <c r="F364" s="9" t="s">
        <v>33</v>
      </c>
      <c r="G364" s="9" t="s">
        <v>975</v>
      </c>
      <c r="H364" s="9" t="s">
        <v>2243</v>
      </c>
      <c r="I364" s="9" t="s">
        <v>421</v>
      </c>
      <c r="J364" s="9" t="s">
        <v>231</v>
      </c>
      <c r="K364" s="9" t="s">
        <v>2468</v>
      </c>
      <c r="L364" s="9" t="s">
        <v>2469</v>
      </c>
      <c r="M364" s="9" t="s">
        <v>424</v>
      </c>
      <c r="N364" s="9" t="s">
        <v>2470</v>
      </c>
    </row>
    <row r="365" customFormat="false" ht="15" hidden="false" customHeight="true" outlineLevel="0" collapsed="false">
      <c r="A365" s="9" t="n">
        <v>361</v>
      </c>
      <c r="B365" s="9" t="s">
        <v>2471</v>
      </c>
      <c r="C365" s="9" t="s">
        <v>2472</v>
      </c>
      <c r="D365" s="9" t="s">
        <v>18</v>
      </c>
      <c r="E365" s="9" t="s">
        <v>2473</v>
      </c>
      <c r="F365" s="9" t="s">
        <v>33</v>
      </c>
      <c r="G365" s="9" t="s">
        <v>2474</v>
      </c>
      <c r="H365" s="9" t="s">
        <v>2243</v>
      </c>
      <c r="I365" s="9" t="s">
        <v>421</v>
      </c>
      <c r="J365" s="9" t="s">
        <v>231</v>
      </c>
      <c r="K365" s="9" t="s">
        <v>2475</v>
      </c>
      <c r="L365" s="9" t="s">
        <v>2476</v>
      </c>
      <c r="M365" s="9" t="s">
        <v>424</v>
      </c>
      <c r="N365" s="9" t="s">
        <v>2477</v>
      </c>
    </row>
    <row r="366" customFormat="false" ht="15" hidden="false" customHeight="true" outlineLevel="0" collapsed="false">
      <c r="A366" s="9" t="n">
        <v>362</v>
      </c>
      <c r="B366" s="9" t="s">
        <v>2478</v>
      </c>
      <c r="C366" s="9" t="s">
        <v>2479</v>
      </c>
      <c r="D366" s="9" t="s">
        <v>68</v>
      </c>
      <c r="E366" s="9" t="s">
        <v>2262</v>
      </c>
      <c r="F366" s="9" t="s">
        <v>2480</v>
      </c>
      <c r="G366" s="9" t="s">
        <v>2481</v>
      </c>
      <c r="H366" s="9" t="s">
        <v>2243</v>
      </c>
      <c r="I366" s="9" t="s">
        <v>54</v>
      </c>
      <c r="J366" s="9" t="s">
        <v>231</v>
      </c>
      <c r="K366" s="9" t="s">
        <v>2482</v>
      </c>
      <c r="L366" s="9" t="s">
        <v>2483</v>
      </c>
      <c r="M366" s="9" t="s">
        <v>424</v>
      </c>
      <c r="N366" s="9" t="s">
        <v>2484</v>
      </c>
    </row>
    <row r="367" customFormat="false" ht="15" hidden="false" customHeight="true" outlineLevel="0" collapsed="false">
      <c r="A367" s="9" t="n">
        <v>363</v>
      </c>
      <c r="B367" s="9" t="s">
        <v>2485</v>
      </c>
      <c r="C367" s="9" t="s">
        <v>48</v>
      </c>
      <c r="D367" s="9" t="s">
        <v>291</v>
      </c>
      <c r="E367" s="9" t="s">
        <v>2287</v>
      </c>
      <c r="F367" s="9" t="s">
        <v>33</v>
      </c>
      <c r="G367" s="9" t="s">
        <v>2486</v>
      </c>
      <c r="H367" s="9" t="s">
        <v>2243</v>
      </c>
      <c r="I367" s="9" t="s">
        <v>54</v>
      </c>
      <c r="J367" s="9" t="s">
        <v>231</v>
      </c>
      <c r="K367" s="9" t="s">
        <v>2487</v>
      </c>
      <c r="L367" s="9" t="s">
        <v>2488</v>
      </c>
      <c r="M367" s="9" t="s">
        <v>424</v>
      </c>
      <c r="N367" s="9" t="s">
        <v>2489</v>
      </c>
    </row>
    <row r="368" customFormat="false" ht="15" hidden="false" customHeight="true" outlineLevel="0" collapsed="false">
      <c r="A368" s="9" t="n">
        <v>364</v>
      </c>
      <c r="B368" s="9" t="s">
        <v>2490</v>
      </c>
      <c r="C368" s="9" t="s">
        <v>2491</v>
      </c>
      <c r="D368" s="9" t="s">
        <v>18</v>
      </c>
      <c r="E368" s="9" t="s">
        <v>2492</v>
      </c>
      <c r="F368" s="9" t="s">
        <v>33</v>
      </c>
      <c r="G368" s="9" t="s">
        <v>2493</v>
      </c>
      <c r="H368" s="9" t="s">
        <v>2243</v>
      </c>
      <c r="I368" s="9" t="s">
        <v>421</v>
      </c>
      <c r="J368" s="9" t="s">
        <v>231</v>
      </c>
      <c r="K368" s="9" t="s">
        <v>2494</v>
      </c>
      <c r="L368" s="9" t="s">
        <v>2495</v>
      </c>
      <c r="M368" s="9" t="s">
        <v>424</v>
      </c>
      <c r="N368" s="9" t="s">
        <v>2496</v>
      </c>
    </row>
    <row r="369" customFormat="false" ht="15" hidden="false" customHeight="true" outlineLevel="0" collapsed="false">
      <c r="A369" s="9" t="n">
        <v>365</v>
      </c>
      <c r="B369" s="9" t="s">
        <v>1475</v>
      </c>
      <c r="C369" s="9" t="s">
        <v>1476</v>
      </c>
      <c r="D369" s="9" t="s">
        <v>291</v>
      </c>
      <c r="E369" s="9" t="s">
        <v>2497</v>
      </c>
      <c r="F369" s="9" t="s">
        <v>33</v>
      </c>
      <c r="G369" s="9" t="s">
        <v>2254</v>
      </c>
      <c r="H369" s="9" t="s">
        <v>1477</v>
      </c>
      <c r="I369" s="9" t="s">
        <v>421</v>
      </c>
      <c r="J369" s="9" t="s">
        <v>231</v>
      </c>
      <c r="K369" s="9" t="s">
        <v>2498</v>
      </c>
      <c r="L369" s="9" t="s">
        <v>2499</v>
      </c>
      <c r="M369" s="9" t="s">
        <v>424</v>
      </c>
      <c r="N369" s="9" t="s">
        <v>2500</v>
      </c>
    </row>
    <row r="370" customFormat="false" ht="15" hidden="false" customHeight="true" outlineLevel="0" collapsed="false">
      <c r="A370" s="9" t="n">
        <v>366</v>
      </c>
      <c r="B370" s="9" t="s">
        <v>1825</v>
      </c>
      <c r="C370" s="9" t="s">
        <v>1826</v>
      </c>
      <c r="D370" s="9" t="s">
        <v>291</v>
      </c>
      <c r="E370" s="9" t="s">
        <v>2501</v>
      </c>
      <c r="F370" s="9" t="s">
        <v>2502</v>
      </c>
      <c r="G370" s="9" t="s">
        <v>2254</v>
      </c>
      <c r="H370" s="9" t="s">
        <v>1828</v>
      </c>
      <c r="I370" s="9" t="s">
        <v>421</v>
      </c>
      <c r="J370" s="9" t="s">
        <v>231</v>
      </c>
      <c r="K370" s="9" t="s">
        <v>2503</v>
      </c>
      <c r="L370" s="9" t="s">
        <v>2504</v>
      </c>
      <c r="M370" s="9" t="s">
        <v>424</v>
      </c>
      <c r="N370" s="9" t="s">
        <v>2505</v>
      </c>
    </row>
    <row r="371" customFormat="false" ht="15" hidden="false" customHeight="true" outlineLevel="0" collapsed="false">
      <c r="A371" s="9" t="n">
        <v>367</v>
      </c>
      <c r="B371" s="9" t="s">
        <v>2506</v>
      </c>
      <c r="C371" s="9" t="s">
        <v>48</v>
      </c>
      <c r="D371" s="9" t="s">
        <v>18</v>
      </c>
      <c r="E371" s="9" t="s">
        <v>2507</v>
      </c>
      <c r="F371" s="9" t="s">
        <v>33</v>
      </c>
      <c r="G371" s="9" t="s">
        <v>2508</v>
      </c>
      <c r="H371" s="9" t="s">
        <v>2243</v>
      </c>
      <c r="I371" s="9" t="s">
        <v>54</v>
      </c>
      <c r="J371" s="9" t="s">
        <v>231</v>
      </c>
      <c r="K371" s="9" t="s">
        <v>2509</v>
      </c>
      <c r="L371" s="9" t="s">
        <v>2510</v>
      </c>
      <c r="M371" s="9" t="s">
        <v>424</v>
      </c>
      <c r="N371" s="9" t="s">
        <v>2511</v>
      </c>
    </row>
    <row r="372" customFormat="false" ht="15" hidden="false" customHeight="true" outlineLevel="0" collapsed="false">
      <c r="A372" s="9" t="n">
        <v>368</v>
      </c>
      <c r="B372" s="9" t="s">
        <v>1799</v>
      </c>
      <c r="C372" s="9" t="s">
        <v>1800</v>
      </c>
      <c r="D372" s="9" t="s">
        <v>18</v>
      </c>
      <c r="E372" s="9" t="s">
        <v>2512</v>
      </c>
      <c r="F372" s="9" t="s">
        <v>33</v>
      </c>
      <c r="G372" s="9" t="s">
        <v>1801</v>
      </c>
      <c r="H372" s="9" t="s">
        <v>2243</v>
      </c>
      <c r="I372" s="9" t="s">
        <v>421</v>
      </c>
      <c r="J372" s="9" t="s">
        <v>231</v>
      </c>
      <c r="K372" s="9" t="s">
        <v>2513</v>
      </c>
      <c r="L372" s="9" t="s">
        <v>2514</v>
      </c>
      <c r="M372" s="9" t="s">
        <v>424</v>
      </c>
      <c r="N372" s="9" t="s">
        <v>2515</v>
      </c>
    </row>
    <row r="373" customFormat="false" ht="15" hidden="false" customHeight="true" outlineLevel="0" collapsed="false">
      <c r="A373" s="9" t="n">
        <v>369</v>
      </c>
      <c r="B373" s="9" t="s">
        <v>2516</v>
      </c>
      <c r="C373" s="9" t="s">
        <v>48</v>
      </c>
      <c r="D373" s="9" t="s">
        <v>18</v>
      </c>
      <c r="E373" s="9" t="s">
        <v>2328</v>
      </c>
      <c r="F373" s="9" t="s">
        <v>33</v>
      </c>
      <c r="G373" s="9" t="s">
        <v>2517</v>
      </c>
      <c r="H373" s="9" t="s">
        <v>2243</v>
      </c>
      <c r="I373" s="9" t="s">
        <v>421</v>
      </c>
      <c r="J373" s="9" t="s">
        <v>231</v>
      </c>
      <c r="K373" s="9" t="s">
        <v>2518</v>
      </c>
      <c r="L373" s="9" t="s">
        <v>2519</v>
      </c>
      <c r="M373" s="9" t="s">
        <v>424</v>
      </c>
      <c r="N373" s="9" t="s">
        <v>2520</v>
      </c>
    </row>
    <row r="374" customFormat="false" ht="15" hidden="false" customHeight="true" outlineLevel="0" collapsed="false">
      <c r="A374" s="9" t="n">
        <v>370</v>
      </c>
      <c r="B374" s="9" t="s">
        <v>2521</v>
      </c>
      <c r="C374" s="9" t="s">
        <v>2522</v>
      </c>
      <c r="D374" s="9" t="s">
        <v>18</v>
      </c>
      <c r="E374" s="9" t="s">
        <v>2523</v>
      </c>
      <c r="F374" s="9" t="s">
        <v>33</v>
      </c>
      <c r="G374" s="9" t="s">
        <v>2524</v>
      </c>
      <c r="H374" s="9" t="s">
        <v>2243</v>
      </c>
      <c r="I374" s="9" t="s">
        <v>421</v>
      </c>
      <c r="J374" s="9" t="s">
        <v>231</v>
      </c>
      <c r="K374" s="9" t="s">
        <v>2525</v>
      </c>
      <c r="L374" s="9" t="s">
        <v>2526</v>
      </c>
      <c r="M374" s="9" t="s">
        <v>424</v>
      </c>
      <c r="N374" s="9" t="s">
        <v>2527</v>
      </c>
    </row>
    <row r="375" customFormat="false" ht="15" hidden="false" customHeight="true" outlineLevel="0" collapsed="false">
      <c r="A375" s="9" t="n">
        <v>371</v>
      </c>
      <c r="B375" s="9" t="s">
        <v>2528</v>
      </c>
      <c r="C375" s="9" t="s">
        <v>2529</v>
      </c>
      <c r="D375" s="9" t="s">
        <v>60</v>
      </c>
      <c r="E375" s="9" t="s">
        <v>2388</v>
      </c>
      <c r="F375" s="9" t="s">
        <v>33</v>
      </c>
      <c r="G375" s="9" t="s">
        <v>2530</v>
      </c>
      <c r="H375" s="9" t="s">
        <v>2243</v>
      </c>
      <c r="I375" s="9" t="s">
        <v>54</v>
      </c>
      <c r="J375" s="9" t="s">
        <v>231</v>
      </c>
      <c r="K375" s="9" t="s">
        <v>2531</v>
      </c>
      <c r="L375" s="9" t="s">
        <v>2532</v>
      </c>
      <c r="M375" s="9" t="s">
        <v>424</v>
      </c>
      <c r="N375" s="9" t="s">
        <v>2533</v>
      </c>
    </row>
    <row r="376" customFormat="false" ht="15" hidden="false" customHeight="true" outlineLevel="0" collapsed="false">
      <c r="A376" s="9" t="n">
        <v>372</v>
      </c>
      <c r="B376" s="9" t="s">
        <v>2534</v>
      </c>
      <c r="C376" s="9" t="s">
        <v>2535</v>
      </c>
      <c r="D376" s="9" t="s">
        <v>60</v>
      </c>
      <c r="E376" s="9" t="s">
        <v>2536</v>
      </c>
      <c r="F376" s="9" t="s">
        <v>33</v>
      </c>
      <c r="G376" s="9" t="s">
        <v>2537</v>
      </c>
      <c r="H376" s="9" t="s">
        <v>2243</v>
      </c>
      <c r="I376" s="9" t="s">
        <v>54</v>
      </c>
      <c r="J376" s="9" t="s">
        <v>231</v>
      </c>
      <c r="K376" s="9" t="s">
        <v>2538</v>
      </c>
      <c r="L376" s="9" t="s">
        <v>2539</v>
      </c>
      <c r="M376" s="9" t="s">
        <v>424</v>
      </c>
      <c r="N376" s="9" t="s">
        <v>2540</v>
      </c>
    </row>
    <row r="377" customFormat="false" ht="15" hidden="false" customHeight="true" outlineLevel="0" collapsed="false">
      <c r="A377" s="9" t="n">
        <v>373</v>
      </c>
      <c r="B377" s="9" t="s">
        <v>2541</v>
      </c>
      <c r="C377" s="9" t="s">
        <v>2542</v>
      </c>
      <c r="D377" s="9" t="s">
        <v>60</v>
      </c>
      <c r="E377" s="9" t="s">
        <v>2543</v>
      </c>
      <c r="F377" s="9" t="s">
        <v>33</v>
      </c>
      <c r="G377" s="9" t="s">
        <v>2544</v>
      </c>
      <c r="H377" s="9" t="s">
        <v>2243</v>
      </c>
      <c r="I377" s="9" t="s">
        <v>421</v>
      </c>
      <c r="J377" s="9" t="s">
        <v>231</v>
      </c>
      <c r="K377" s="9" t="s">
        <v>2545</v>
      </c>
      <c r="L377" s="9" t="s">
        <v>2546</v>
      </c>
      <c r="M377" s="9" t="s">
        <v>424</v>
      </c>
      <c r="N377" s="9" t="s">
        <v>2547</v>
      </c>
    </row>
    <row r="378" customFormat="false" ht="15" hidden="false" customHeight="true" outlineLevel="0" collapsed="false">
      <c r="A378" s="9" t="n">
        <v>374</v>
      </c>
      <c r="B378" s="9" t="s">
        <v>2548</v>
      </c>
      <c r="C378" s="9" t="s">
        <v>2549</v>
      </c>
      <c r="D378" s="9" t="s">
        <v>60</v>
      </c>
      <c r="E378" s="9" t="s">
        <v>2550</v>
      </c>
      <c r="F378" s="9" t="s">
        <v>33</v>
      </c>
      <c r="G378" s="9" t="s">
        <v>2551</v>
      </c>
      <c r="H378" s="9" t="s">
        <v>2243</v>
      </c>
      <c r="I378" s="9" t="s">
        <v>421</v>
      </c>
      <c r="J378" s="9" t="s">
        <v>231</v>
      </c>
      <c r="K378" s="9" t="s">
        <v>2552</v>
      </c>
      <c r="L378" s="9" t="s">
        <v>2553</v>
      </c>
      <c r="M378" s="9" t="s">
        <v>424</v>
      </c>
      <c r="N378" s="9" t="s">
        <v>2554</v>
      </c>
    </row>
    <row r="379" customFormat="false" ht="15" hidden="false" customHeight="true" outlineLevel="0" collapsed="false">
      <c r="A379" s="9" t="n">
        <v>375</v>
      </c>
      <c r="B379" s="9" t="s">
        <v>2555</v>
      </c>
      <c r="C379" s="9" t="s">
        <v>2556</v>
      </c>
      <c r="D379" s="9" t="s">
        <v>60</v>
      </c>
      <c r="E379" s="9" t="s">
        <v>2557</v>
      </c>
      <c r="F379" s="9" t="s">
        <v>33</v>
      </c>
      <c r="G379" s="9" t="s">
        <v>2558</v>
      </c>
      <c r="H379" s="9" t="s">
        <v>2243</v>
      </c>
      <c r="I379" s="9" t="s">
        <v>421</v>
      </c>
      <c r="J379" s="9" t="s">
        <v>231</v>
      </c>
      <c r="K379" s="9" t="s">
        <v>2559</v>
      </c>
      <c r="L379" s="9" t="s">
        <v>2560</v>
      </c>
      <c r="M379" s="9" t="s">
        <v>424</v>
      </c>
      <c r="N379" s="9" t="s">
        <v>2561</v>
      </c>
    </row>
    <row r="380" customFormat="false" ht="15" hidden="false" customHeight="true" outlineLevel="0" collapsed="false">
      <c r="A380" s="9" t="n">
        <v>376</v>
      </c>
      <c r="B380" s="9" t="s">
        <v>2562</v>
      </c>
      <c r="C380" s="9" t="s">
        <v>2563</v>
      </c>
      <c r="D380" s="9" t="s">
        <v>60</v>
      </c>
      <c r="E380" s="9" t="s">
        <v>2564</v>
      </c>
      <c r="F380" s="9" t="s">
        <v>33</v>
      </c>
      <c r="G380" s="9" t="s">
        <v>2565</v>
      </c>
      <c r="H380" s="9" t="s">
        <v>2243</v>
      </c>
      <c r="I380" s="9" t="s">
        <v>54</v>
      </c>
      <c r="J380" s="9" t="s">
        <v>231</v>
      </c>
      <c r="K380" s="9" t="s">
        <v>2566</v>
      </c>
      <c r="L380" s="9" t="s">
        <v>2567</v>
      </c>
      <c r="M380" s="9" t="s">
        <v>424</v>
      </c>
      <c r="N380" s="9" t="s">
        <v>2568</v>
      </c>
    </row>
    <row r="381" customFormat="false" ht="15" hidden="false" customHeight="true" outlineLevel="0" collapsed="false">
      <c r="A381" s="9" t="n">
        <v>377</v>
      </c>
      <c r="B381" s="9" t="s">
        <v>2569</v>
      </c>
      <c r="C381" s="9" t="s">
        <v>2570</v>
      </c>
      <c r="D381" s="9" t="s">
        <v>291</v>
      </c>
      <c r="E381" s="9" t="s">
        <v>2571</v>
      </c>
      <c r="F381" s="9" t="s">
        <v>33</v>
      </c>
      <c r="G381" s="9" t="s">
        <v>2572</v>
      </c>
      <c r="H381" s="9" t="s">
        <v>2243</v>
      </c>
      <c r="I381" s="9" t="s">
        <v>421</v>
      </c>
      <c r="J381" s="9" t="s">
        <v>231</v>
      </c>
      <c r="K381" s="9" t="s">
        <v>2573</v>
      </c>
      <c r="L381" s="9" t="s">
        <v>2574</v>
      </c>
      <c r="M381" s="9" t="s">
        <v>424</v>
      </c>
      <c r="N381" s="9" t="s">
        <v>2575</v>
      </c>
    </row>
    <row r="382" customFormat="false" ht="15" hidden="false" customHeight="true" outlineLevel="0" collapsed="false">
      <c r="A382" s="9" t="n">
        <v>378</v>
      </c>
      <c r="B382" s="9" t="s">
        <v>2576</v>
      </c>
      <c r="C382" s="9" t="s">
        <v>48</v>
      </c>
      <c r="D382" s="9" t="s">
        <v>291</v>
      </c>
      <c r="E382" s="9" t="s">
        <v>2577</v>
      </c>
      <c r="F382" s="9" t="s">
        <v>33</v>
      </c>
      <c r="G382" s="9" t="s">
        <v>2578</v>
      </c>
      <c r="H382" s="9" t="s">
        <v>2243</v>
      </c>
      <c r="I382" s="9" t="s">
        <v>54</v>
      </c>
      <c r="J382" s="9" t="s">
        <v>231</v>
      </c>
      <c r="K382" s="9" t="s">
        <v>2579</v>
      </c>
      <c r="L382" s="9" t="s">
        <v>2580</v>
      </c>
      <c r="M382" s="9" t="s">
        <v>424</v>
      </c>
      <c r="N382" s="9" t="s">
        <v>2581</v>
      </c>
    </row>
    <row r="383" customFormat="false" ht="15" hidden="false" customHeight="true" outlineLevel="0" collapsed="false">
      <c r="A383" s="9" t="n">
        <v>379</v>
      </c>
      <c r="B383" s="9" t="s">
        <v>2582</v>
      </c>
      <c r="C383" s="9" t="s">
        <v>2583</v>
      </c>
      <c r="D383" s="9" t="s">
        <v>49</v>
      </c>
      <c r="E383" s="9" t="s">
        <v>2584</v>
      </c>
      <c r="F383" s="9" t="s">
        <v>33</v>
      </c>
      <c r="G383" s="9" t="s">
        <v>2585</v>
      </c>
      <c r="H383" s="9" t="s">
        <v>2243</v>
      </c>
      <c r="I383" s="9" t="s">
        <v>421</v>
      </c>
      <c r="J383" s="9" t="s">
        <v>231</v>
      </c>
      <c r="K383" s="9" t="s">
        <v>2586</v>
      </c>
      <c r="L383" s="9" t="s">
        <v>2587</v>
      </c>
      <c r="M383" s="9" t="s">
        <v>424</v>
      </c>
      <c r="N383" s="9" t="s">
        <v>2588</v>
      </c>
    </row>
    <row r="384" customFormat="false" ht="15" hidden="false" customHeight="true" outlineLevel="0" collapsed="false">
      <c r="A384" s="9" t="n">
        <v>380</v>
      </c>
      <c r="B384" s="9" t="s">
        <v>2589</v>
      </c>
      <c r="C384" s="9" t="s">
        <v>2590</v>
      </c>
      <c r="D384" s="9" t="s">
        <v>68</v>
      </c>
      <c r="E384" s="9" t="s">
        <v>2591</v>
      </c>
      <c r="F384" s="9" t="s">
        <v>33</v>
      </c>
      <c r="G384" s="9" t="s">
        <v>2592</v>
      </c>
      <c r="H384" s="9" t="s">
        <v>2243</v>
      </c>
      <c r="I384" s="9" t="s">
        <v>421</v>
      </c>
      <c r="J384" s="9" t="s">
        <v>231</v>
      </c>
      <c r="K384" s="9" t="s">
        <v>2593</v>
      </c>
      <c r="L384" s="9" t="s">
        <v>2594</v>
      </c>
      <c r="M384" s="9" t="s">
        <v>424</v>
      </c>
      <c r="N384" s="9" t="s">
        <v>2595</v>
      </c>
    </row>
    <row r="385" customFormat="false" ht="15" hidden="false" customHeight="true" outlineLevel="0" collapsed="false">
      <c r="A385" s="9" t="n">
        <v>381</v>
      </c>
      <c r="B385" s="9" t="s">
        <v>2596</v>
      </c>
      <c r="C385" s="9" t="s">
        <v>2597</v>
      </c>
      <c r="D385" s="9" t="s">
        <v>68</v>
      </c>
      <c r="E385" s="9" t="s">
        <v>2598</v>
      </c>
      <c r="F385" s="9" t="s">
        <v>33</v>
      </c>
      <c r="G385" s="9" t="s">
        <v>2599</v>
      </c>
      <c r="H385" s="9" t="s">
        <v>2243</v>
      </c>
      <c r="I385" s="9" t="s">
        <v>54</v>
      </c>
      <c r="J385" s="9" t="s">
        <v>231</v>
      </c>
      <c r="K385" s="9" t="s">
        <v>2600</v>
      </c>
      <c r="L385" s="9" t="s">
        <v>2601</v>
      </c>
      <c r="M385" s="9" t="s">
        <v>424</v>
      </c>
      <c r="N385" s="9" t="s">
        <v>2602</v>
      </c>
    </row>
    <row r="386" customFormat="false" ht="15" hidden="false" customHeight="true" outlineLevel="0" collapsed="false">
      <c r="A386" s="9" t="n">
        <v>382</v>
      </c>
      <c r="B386" s="9" t="s">
        <v>2603</v>
      </c>
      <c r="C386" s="9" t="s">
        <v>2604</v>
      </c>
      <c r="D386" s="9" t="s">
        <v>68</v>
      </c>
      <c r="E386" s="9" t="s">
        <v>2605</v>
      </c>
      <c r="F386" s="9" t="s">
        <v>33</v>
      </c>
      <c r="G386" s="9" t="s">
        <v>2606</v>
      </c>
      <c r="H386" s="9" t="s">
        <v>2243</v>
      </c>
      <c r="I386" s="9" t="s">
        <v>421</v>
      </c>
      <c r="J386" s="9" t="s">
        <v>231</v>
      </c>
      <c r="K386" s="9" t="s">
        <v>2607</v>
      </c>
      <c r="L386" s="9" t="s">
        <v>2608</v>
      </c>
      <c r="M386" s="9" t="s">
        <v>424</v>
      </c>
      <c r="N386" s="9" t="s">
        <v>2609</v>
      </c>
    </row>
    <row r="387" customFormat="false" ht="15" hidden="false" customHeight="true" outlineLevel="0" collapsed="false">
      <c r="A387" s="9" t="n">
        <v>383</v>
      </c>
      <c r="B387" s="9" t="s">
        <v>2610</v>
      </c>
      <c r="C387" s="9" t="s">
        <v>675</v>
      </c>
      <c r="D387" s="9" t="s">
        <v>291</v>
      </c>
      <c r="E387" s="9" t="s">
        <v>2611</v>
      </c>
      <c r="F387" s="9" t="s">
        <v>33</v>
      </c>
      <c r="G387" s="9" t="s">
        <v>677</v>
      </c>
      <c r="H387" s="9" t="s">
        <v>2243</v>
      </c>
      <c r="I387" s="9" t="s">
        <v>421</v>
      </c>
      <c r="J387" s="9" t="s">
        <v>231</v>
      </c>
      <c r="K387" s="9" t="s">
        <v>2612</v>
      </c>
      <c r="L387" s="9" t="s">
        <v>2613</v>
      </c>
      <c r="M387" s="9" t="s">
        <v>424</v>
      </c>
      <c r="N387" s="9" t="s">
        <v>2614</v>
      </c>
    </row>
    <row r="388" customFormat="false" ht="15" hidden="false" customHeight="true" outlineLevel="0" collapsed="false">
      <c r="A388" s="9" t="n">
        <v>384</v>
      </c>
      <c r="B388" s="9" t="s">
        <v>2615</v>
      </c>
      <c r="C388" s="9" t="s">
        <v>2616</v>
      </c>
      <c r="D388" s="9" t="s">
        <v>291</v>
      </c>
      <c r="E388" s="9" t="s">
        <v>2617</v>
      </c>
      <c r="F388" s="9" t="s">
        <v>33</v>
      </c>
      <c r="G388" s="9" t="s">
        <v>2618</v>
      </c>
      <c r="H388" s="9" t="s">
        <v>2243</v>
      </c>
      <c r="I388" s="9" t="s">
        <v>421</v>
      </c>
      <c r="J388" s="9" t="s">
        <v>231</v>
      </c>
      <c r="K388" s="9" t="s">
        <v>2619</v>
      </c>
      <c r="L388" s="9" t="s">
        <v>2620</v>
      </c>
      <c r="M388" s="9" t="s">
        <v>424</v>
      </c>
      <c r="N388" s="9" t="s">
        <v>2621</v>
      </c>
    </row>
    <row r="389" customFormat="false" ht="15" hidden="false" customHeight="true" outlineLevel="0" collapsed="false">
      <c r="A389" s="9" t="n">
        <v>385</v>
      </c>
      <c r="B389" s="9" t="s">
        <v>1304</v>
      </c>
      <c r="C389" s="9" t="s">
        <v>1305</v>
      </c>
      <c r="D389" s="9" t="s">
        <v>291</v>
      </c>
      <c r="E389" s="9" t="s">
        <v>2622</v>
      </c>
      <c r="F389" s="9" t="s">
        <v>33</v>
      </c>
      <c r="G389" s="9" t="s">
        <v>1306</v>
      </c>
      <c r="H389" s="9" t="s">
        <v>2243</v>
      </c>
      <c r="I389" s="9" t="s">
        <v>421</v>
      </c>
      <c r="J389" s="9" t="s">
        <v>231</v>
      </c>
      <c r="K389" s="9" t="s">
        <v>2623</v>
      </c>
      <c r="L389" s="9" t="s">
        <v>2624</v>
      </c>
      <c r="M389" s="9" t="s">
        <v>424</v>
      </c>
      <c r="N389" s="9" t="s">
        <v>2625</v>
      </c>
    </row>
    <row r="390" customFormat="false" ht="15" hidden="false" customHeight="true" outlineLevel="0" collapsed="false">
      <c r="A390" s="9" t="n">
        <v>386</v>
      </c>
      <c r="B390" s="9" t="s">
        <v>2626</v>
      </c>
      <c r="C390" s="9" t="s">
        <v>2627</v>
      </c>
      <c r="D390" s="9" t="s">
        <v>291</v>
      </c>
      <c r="E390" s="9" t="s">
        <v>2628</v>
      </c>
      <c r="F390" s="9" t="s">
        <v>33</v>
      </c>
      <c r="G390" s="9" t="s">
        <v>2629</v>
      </c>
      <c r="H390" s="9" t="s">
        <v>2243</v>
      </c>
      <c r="I390" s="9" t="s">
        <v>421</v>
      </c>
      <c r="J390" s="9" t="s">
        <v>231</v>
      </c>
      <c r="K390" s="9" t="s">
        <v>2630</v>
      </c>
      <c r="L390" s="9" t="s">
        <v>2631</v>
      </c>
      <c r="M390" s="9" t="s">
        <v>424</v>
      </c>
      <c r="N390" s="9" t="s">
        <v>2632</v>
      </c>
    </row>
    <row r="391" customFormat="false" ht="15" hidden="false" customHeight="true" outlineLevel="0" collapsed="false">
      <c r="A391" s="9" t="n">
        <v>387</v>
      </c>
      <c r="B391" s="9" t="s">
        <v>2633</v>
      </c>
      <c r="C391" s="9" t="s">
        <v>2634</v>
      </c>
      <c r="D391" s="9" t="s">
        <v>291</v>
      </c>
      <c r="E391" s="9" t="s">
        <v>2635</v>
      </c>
      <c r="F391" s="9" t="s">
        <v>33</v>
      </c>
      <c r="G391" s="9" t="s">
        <v>2636</v>
      </c>
      <c r="H391" s="9" t="s">
        <v>2243</v>
      </c>
      <c r="I391" s="9" t="s">
        <v>421</v>
      </c>
      <c r="J391" s="9" t="s">
        <v>231</v>
      </c>
      <c r="K391" s="9" t="s">
        <v>2637</v>
      </c>
      <c r="L391" s="9" t="s">
        <v>2638</v>
      </c>
      <c r="M391" s="9" t="s">
        <v>424</v>
      </c>
      <c r="N391" s="9" t="s">
        <v>2639</v>
      </c>
    </row>
    <row r="392" customFormat="false" ht="15" hidden="false" customHeight="true" outlineLevel="0" collapsed="false">
      <c r="A392" s="9" t="n">
        <v>388</v>
      </c>
      <c r="B392" s="9" t="s">
        <v>2640</v>
      </c>
      <c r="C392" s="9" t="s">
        <v>2641</v>
      </c>
      <c r="D392" s="9" t="s">
        <v>291</v>
      </c>
      <c r="E392" s="9" t="s">
        <v>2635</v>
      </c>
      <c r="F392" s="9" t="s">
        <v>33</v>
      </c>
      <c r="G392" s="9" t="s">
        <v>2642</v>
      </c>
      <c r="H392" s="9" t="s">
        <v>2243</v>
      </c>
      <c r="I392" s="9" t="s">
        <v>421</v>
      </c>
      <c r="J392" s="9" t="s">
        <v>231</v>
      </c>
      <c r="K392" s="9" t="s">
        <v>2643</v>
      </c>
      <c r="L392" s="9" t="s">
        <v>2644</v>
      </c>
      <c r="M392" s="9" t="s">
        <v>424</v>
      </c>
      <c r="N392" s="9" t="s">
        <v>2645</v>
      </c>
    </row>
    <row r="393" customFormat="false" ht="15" hidden="false" customHeight="true" outlineLevel="0" collapsed="false">
      <c r="A393" s="9" t="n">
        <v>389</v>
      </c>
      <c r="B393" s="9" t="s">
        <v>2646</v>
      </c>
      <c r="C393" s="9" t="s">
        <v>2647</v>
      </c>
      <c r="D393" s="9" t="s">
        <v>291</v>
      </c>
      <c r="E393" s="9" t="s">
        <v>2622</v>
      </c>
      <c r="F393" s="9" t="s">
        <v>33</v>
      </c>
      <c r="G393" s="9" t="s">
        <v>2648</v>
      </c>
      <c r="H393" s="9" t="s">
        <v>2243</v>
      </c>
      <c r="I393" s="9" t="s">
        <v>421</v>
      </c>
      <c r="J393" s="9" t="s">
        <v>231</v>
      </c>
      <c r="K393" s="9" t="s">
        <v>2649</v>
      </c>
      <c r="L393" s="9" t="s">
        <v>2650</v>
      </c>
      <c r="M393" s="9" t="s">
        <v>424</v>
      </c>
      <c r="N393" s="9" t="s">
        <v>2651</v>
      </c>
    </row>
    <row r="394" customFormat="false" ht="15" hidden="false" customHeight="true" outlineLevel="0" collapsed="false">
      <c r="A394" s="9" t="n">
        <v>390</v>
      </c>
      <c r="B394" s="9" t="s">
        <v>2652</v>
      </c>
      <c r="C394" s="9" t="s">
        <v>2653</v>
      </c>
      <c r="D394" s="9" t="s">
        <v>291</v>
      </c>
      <c r="E394" s="9" t="s">
        <v>2654</v>
      </c>
      <c r="F394" s="9" t="s">
        <v>33</v>
      </c>
      <c r="G394" s="9" t="s">
        <v>2655</v>
      </c>
      <c r="H394" s="9" t="s">
        <v>2243</v>
      </c>
      <c r="I394" s="9" t="s">
        <v>421</v>
      </c>
      <c r="J394" s="9" t="s">
        <v>231</v>
      </c>
      <c r="K394" s="9" t="s">
        <v>2656</v>
      </c>
      <c r="L394" s="9" t="s">
        <v>2657</v>
      </c>
      <c r="M394" s="9" t="s">
        <v>424</v>
      </c>
      <c r="N394" s="9" t="s">
        <v>2658</v>
      </c>
    </row>
    <row r="395" customFormat="false" ht="15" hidden="false" customHeight="true" outlineLevel="0" collapsed="false">
      <c r="A395" s="9" t="n">
        <v>391</v>
      </c>
      <c r="B395" s="9" t="s">
        <v>2659</v>
      </c>
      <c r="C395" s="9" t="s">
        <v>2660</v>
      </c>
      <c r="D395" s="9" t="s">
        <v>291</v>
      </c>
      <c r="E395" s="9" t="s">
        <v>2628</v>
      </c>
      <c r="F395" s="9" t="s">
        <v>33</v>
      </c>
      <c r="G395" s="9" t="s">
        <v>2661</v>
      </c>
      <c r="H395" s="9" t="s">
        <v>2243</v>
      </c>
      <c r="I395" s="9" t="s">
        <v>54</v>
      </c>
      <c r="J395" s="9" t="s">
        <v>231</v>
      </c>
      <c r="K395" s="9" t="s">
        <v>2662</v>
      </c>
      <c r="L395" s="9" t="s">
        <v>2663</v>
      </c>
      <c r="M395" s="9" t="s">
        <v>424</v>
      </c>
      <c r="N395" s="9" t="s">
        <v>2664</v>
      </c>
    </row>
    <row r="396" customFormat="false" ht="15" hidden="false" customHeight="true" outlineLevel="0" collapsed="false">
      <c r="A396" s="9" t="n">
        <v>392</v>
      </c>
      <c r="B396" s="9" t="s">
        <v>2665</v>
      </c>
      <c r="C396" s="9" t="s">
        <v>2666</v>
      </c>
      <c r="D396" s="9" t="s">
        <v>49</v>
      </c>
      <c r="E396" s="9" t="s">
        <v>2667</v>
      </c>
      <c r="F396" s="9" t="s">
        <v>33</v>
      </c>
      <c r="G396" s="9" t="s">
        <v>2668</v>
      </c>
      <c r="H396" s="9" t="s">
        <v>2243</v>
      </c>
      <c r="I396" s="9" t="s">
        <v>421</v>
      </c>
      <c r="J396" s="9" t="s">
        <v>231</v>
      </c>
      <c r="K396" s="9" t="s">
        <v>2669</v>
      </c>
      <c r="L396" s="9" t="s">
        <v>2670</v>
      </c>
      <c r="M396" s="9" t="s">
        <v>424</v>
      </c>
      <c r="N396" s="9" t="s">
        <v>2671</v>
      </c>
    </row>
    <row r="397" customFormat="false" ht="15" hidden="false" customHeight="true" outlineLevel="0" collapsed="false">
      <c r="A397" s="9" t="n">
        <v>393</v>
      </c>
      <c r="B397" s="9" t="s">
        <v>2672</v>
      </c>
      <c r="C397" s="9" t="s">
        <v>2673</v>
      </c>
      <c r="D397" s="9" t="s">
        <v>60</v>
      </c>
      <c r="E397" s="9" t="s">
        <v>2622</v>
      </c>
      <c r="F397" s="9" t="s">
        <v>33</v>
      </c>
      <c r="G397" s="9" t="s">
        <v>2674</v>
      </c>
      <c r="H397" s="9" t="s">
        <v>2243</v>
      </c>
      <c r="I397" s="9" t="s">
        <v>421</v>
      </c>
      <c r="J397" s="9" t="s">
        <v>231</v>
      </c>
      <c r="K397" s="9" t="s">
        <v>2675</v>
      </c>
      <c r="L397" s="9" t="s">
        <v>2676</v>
      </c>
      <c r="M397" s="9" t="s">
        <v>424</v>
      </c>
      <c r="N397" s="9" t="s">
        <v>2677</v>
      </c>
    </row>
    <row r="398" customFormat="false" ht="15" hidden="false" customHeight="true" outlineLevel="0" collapsed="false">
      <c r="A398" s="9" t="n">
        <v>394</v>
      </c>
      <c r="B398" s="9" t="s">
        <v>2678</v>
      </c>
      <c r="C398" s="9" t="s">
        <v>1319</v>
      </c>
      <c r="D398" s="9" t="s">
        <v>291</v>
      </c>
      <c r="E398" s="9" t="s">
        <v>2679</v>
      </c>
      <c r="F398" s="9" t="s">
        <v>2502</v>
      </c>
      <c r="G398" s="9" t="s">
        <v>1320</v>
      </c>
      <c r="H398" s="9" t="s">
        <v>2243</v>
      </c>
      <c r="I398" s="9" t="s">
        <v>421</v>
      </c>
      <c r="J398" s="9" t="s">
        <v>231</v>
      </c>
      <c r="K398" s="9" t="s">
        <v>2680</v>
      </c>
      <c r="L398" s="9" t="s">
        <v>2681</v>
      </c>
      <c r="M398" s="9" t="s">
        <v>424</v>
      </c>
      <c r="N398" s="9" t="s">
        <v>2682</v>
      </c>
    </row>
    <row r="399" customFormat="false" ht="15" hidden="false" customHeight="true" outlineLevel="0" collapsed="false">
      <c r="A399" s="9" t="n">
        <v>395</v>
      </c>
      <c r="B399" s="9" t="s">
        <v>2683</v>
      </c>
      <c r="C399" s="9" t="s">
        <v>2684</v>
      </c>
      <c r="D399" s="9" t="s">
        <v>291</v>
      </c>
      <c r="E399" s="9" t="s">
        <v>2635</v>
      </c>
      <c r="F399" s="9" t="s">
        <v>33</v>
      </c>
      <c r="G399" s="9" t="s">
        <v>2685</v>
      </c>
      <c r="H399" s="9" t="s">
        <v>2243</v>
      </c>
      <c r="I399" s="9" t="s">
        <v>421</v>
      </c>
      <c r="J399" s="9" t="s">
        <v>231</v>
      </c>
      <c r="K399" s="9" t="s">
        <v>2686</v>
      </c>
      <c r="L399" s="9" t="s">
        <v>2687</v>
      </c>
      <c r="M399" s="9" t="s">
        <v>424</v>
      </c>
      <c r="N399" s="9" t="s">
        <v>2688</v>
      </c>
    </row>
    <row r="400" customFormat="false" ht="15" hidden="false" customHeight="true" outlineLevel="0" collapsed="false">
      <c r="A400" s="9" t="n">
        <v>396</v>
      </c>
      <c r="B400" s="9" t="s">
        <v>2689</v>
      </c>
      <c r="C400" s="9" t="s">
        <v>2690</v>
      </c>
      <c r="D400" s="9" t="s">
        <v>18</v>
      </c>
      <c r="E400" s="9" t="s">
        <v>2571</v>
      </c>
      <c r="F400" s="9" t="s">
        <v>33</v>
      </c>
      <c r="G400" s="9" t="s">
        <v>789</v>
      </c>
      <c r="H400" s="9" t="s">
        <v>2243</v>
      </c>
      <c r="I400" s="9" t="s">
        <v>421</v>
      </c>
      <c r="J400" s="9" t="s">
        <v>231</v>
      </c>
      <c r="K400" s="9" t="s">
        <v>2691</v>
      </c>
      <c r="L400" s="9" t="s">
        <v>2692</v>
      </c>
      <c r="M400" s="9" t="s">
        <v>424</v>
      </c>
      <c r="N400" s="9" t="s">
        <v>2693</v>
      </c>
    </row>
    <row r="401" customFormat="false" ht="15" hidden="false" customHeight="true" outlineLevel="0" collapsed="false">
      <c r="A401" s="9" t="n">
        <v>397</v>
      </c>
      <c r="B401" s="9" t="s">
        <v>2694</v>
      </c>
      <c r="C401" s="9" t="s">
        <v>2695</v>
      </c>
      <c r="D401" s="9" t="s">
        <v>18</v>
      </c>
      <c r="E401" s="9" t="s">
        <v>2696</v>
      </c>
      <c r="F401" s="9" t="s">
        <v>33</v>
      </c>
      <c r="G401" s="9" t="s">
        <v>1416</v>
      </c>
      <c r="H401" s="9" t="s">
        <v>2243</v>
      </c>
      <c r="I401" s="9" t="s">
        <v>54</v>
      </c>
      <c r="J401" s="9" t="s">
        <v>231</v>
      </c>
      <c r="K401" s="9" t="s">
        <v>2697</v>
      </c>
      <c r="L401" s="9" t="s">
        <v>2698</v>
      </c>
      <c r="M401" s="9" t="s">
        <v>424</v>
      </c>
      <c r="N401" s="9" t="s">
        <v>2699</v>
      </c>
    </row>
    <row r="402" customFormat="false" ht="15" hidden="false" customHeight="true" outlineLevel="0" collapsed="false">
      <c r="A402" s="9" t="n">
        <v>398</v>
      </c>
      <c r="B402" s="9" t="s">
        <v>2700</v>
      </c>
      <c r="C402" s="9" t="s">
        <v>2701</v>
      </c>
      <c r="D402" s="9" t="s">
        <v>18</v>
      </c>
      <c r="E402" s="9" t="s">
        <v>2702</v>
      </c>
      <c r="F402" s="9" t="s">
        <v>33</v>
      </c>
      <c r="G402" s="9" t="s">
        <v>2703</v>
      </c>
      <c r="H402" s="9" t="s">
        <v>2243</v>
      </c>
      <c r="I402" s="9" t="s">
        <v>421</v>
      </c>
      <c r="J402" s="9" t="s">
        <v>231</v>
      </c>
      <c r="K402" s="9" t="s">
        <v>2704</v>
      </c>
      <c r="L402" s="9" t="s">
        <v>2705</v>
      </c>
      <c r="M402" s="9" t="s">
        <v>424</v>
      </c>
      <c r="N402" s="9" t="s">
        <v>2706</v>
      </c>
    </row>
    <row r="403" customFormat="false" ht="15" hidden="false" customHeight="true" outlineLevel="0" collapsed="false">
      <c r="A403" s="9" t="n">
        <v>399</v>
      </c>
      <c r="B403" s="9" t="s">
        <v>2707</v>
      </c>
      <c r="C403" s="9" t="s">
        <v>2708</v>
      </c>
      <c r="D403" s="9" t="s">
        <v>18</v>
      </c>
      <c r="E403" s="9" t="s">
        <v>2709</v>
      </c>
      <c r="F403" s="9" t="s">
        <v>33</v>
      </c>
      <c r="G403" s="9" t="s">
        <v>2710</v>
      </c>
      <c r="H403" s="9" t="s">
        <v>2243</v>
      </c>
      <c r="I403" s="9" t="s">
        <v>54</v>
      </c>
      <c r="J403" s="9" t="s">
        <v>231</v>
      </c>
      <c r="K403" s="9" t="s">
        <v>2711</v>
      </c>
      <c r="L403" s="9" t="s">
        <v>2712</v>
      </c>
      <c r="M403" s="9" t="s">
        <v>424</v>
      </c>
      <c r="N403" s="9" t="s">
        <v>2713</v>
      </c>
    </row>
    <row r="404" customFormat="false" ht="15" hidden="false" customHeight="true" outlineLevel="0" collapsed="false">
      <c r="A404" s="9" t="n">
        <v>400</v>
      </c>
      <c r="B404" s="9" t="s">
        <v>2714</v>
      </c>
      <c r="C404" s="9" t="s">
        <v>2715</v>
      </c>
      <c r="D404" s="9" t="s">
        <v>291</v>
      </c>
      <c r="E404" s="9" t="s">
        <v>2716</v>
      </c>
      <c r="F404" s="9" t="s">
        <v>33</v>
      </c>
      <c r="G404" s="9" t="s">
        <v>2717</v>
      </c>
      <c r="H404" s="9" t="s">
        <v>2243</v>
      </c>
      <c r="I404" s="9" t="s">
        <v>421</v>
      </c>
      <c r="J404" s="9" t="s">
        <v>231</v>
      </c>
      <c r="K404" s="9" t="s">
        <v>2718</v>
      </c>
      <c r="L404" s="9" t="s">
        <v>2719</v>
      </c>
      <c r="M404" s="9" t="s">
        <v>424</v>
      </c>
      <c r="N404" s="9" t="s">
        <v>2720</v>
      </c>
    </row>
    <row r="405" customFormat="false" ht="15" hidden="false" customHeight="true" outlineLevel="0" collapsed="false">
      <c r="A405" s="9" t="n">
        <v>401</v>
      </c>
      <c r="B405" s="9" t="s">
        <v>2721</v>
      </c>
      <c r="C405" s="9" t="s">
        <v>2722</v>
      </c>
      <c r="D405" s="9" t="s">
        <v>60</v>
      </c>
      <c r="E405" s="9" t="s">
        <v>2723</v>
      </c>
      <c r="F405" s="9" t="s">
        <v>2724</v>
      </c>
      <c r="G405" s="9" t="s">
        <v>2725</v>
      </c>
      <c r="H405" s="9" t="s">
        <v>2243</v>
      </c>
      <c r="I405" s="9" t="s">
        <v>421</v>
      </c>
      <c r="J405" s="9" t="s">
        <v>231</v>
      </c>
      <c r="K405" s="9" t="s">
        <v>2726</v>
      </c>
      <c r="L405" s="9" t="s">
        <v>2727</v>
      </c>
      <c r="M405" s="9" t="s">
        <v>424</v>
      </c>
      <c r="N405" s="9" t="s">
        <v>2728</v>
      </c>
    </row>
    <row r="406" customFormat="false" ht="15" hidden="false" customHeight="true" outlineLevel="0" collapsed="false">
      <c r="A406" s="9" t="n">
        <v>402</v>
      </c>
      <c r="B406" s="9" t="s">
        <v>2729</v>
      </c>
      <c r="C406" s="9" t="s">
        <v>2730</v>
      </c>
      <c r="D406" s="9" t="s">
        <v>60</v>
      </c>
      <c r="E406" s="9" t="s">
        <v>2731</v>
      </c>
      <c r="F406" s="9" t="s">
        <v>2732</v>
      </c>
      <c r="G406" s="9" t="s">
        <v>2733</v>
      </c>
      <c r="H406" s="9" t="s">
        <v>2243</v>
      </c>
      <c r="I406" s="9" t="s">
        <v>54</v>
      </c>
      <c r="J406" s="9" t="s">
        <v>231</v>
      </c>
      <c r="K406" s="9" t="s">
        <v>2734</v>
      </c>
      <c r="L406" s="9" t="s">
        <v>2735</v>
      </c>
      <c r="M406" s="9" t="s">
        <v>424</v>
      </c>
      <c r="N406" s="9" t="s">
        <v>2736</v>
      </c>
    </row>
    <row r="407" customFormat="false" ht="15" hidden="false" customHeight="true" outlineLevel="0" collapsed="false">
      <c r="A407" s="9" t="n">
        <v>403</v>
      </c>
      <c r="B407" s="9" t="s">
        <v>2737</v>
      </c>
      <c r="C407" s="9" t="s">
        <v>2738</v>
      </c>
      <c r="D407" s="9" t="s">
        <v>18</v>
      </c>
      <c r="E407" s="9" t="s">
        <v>2369</v>
      </c>
      <c r="F407" s="9" t="s">
        <v>33</v>
      </c>
      <c r="G407" s="9" t="s">
        <v>2739</v>
      </c>
      <c r="H407" s="9" t="s">
        <v>2243</v>
      </c>
      <c r="I407" s="9" t="s">
        <v>421</v>
      </c>
      <c r="J407" s="9" t="s">
        <v>231</v>
      </c>
      <c r="K407" s="9" t="s">
        <v>2740</v>
      </c>
      <c r="L407" s="9" t="s">
        <v>2741</v>
      </c>
      <c r="M407" s="9" t="s">
        <v>424</v>
      </c>
      <c r="N407" s="9" t="s">
        <v>2742</v>
      </c>
    </row>
    <row r="408" customFormat="false" ht="15" hidden="false" customHeight="true" outlineLevel="0" collapsed="false">
      <c r="A408" s="9" t="n">
        <v>404</v>
      </c>
      <c r="B408" s="9" t="s">
        <v>2743</v>
      </c>
      <c r="C408" s="9" t="s">
        <v>2744</v>
      </c>
      <c r="D408" s="9" t="s">
        <v>18</v>
      </c>
      <c r="E408" s="9" t="s">
        <v>2745</v>
      </c>
      <c r="F408" s="9" t="s">
        <v>2746</v>
      </c>
      <c r="G408" s="9" t="s">
        <v>2747</v>
      </c>
      <c r="H408" s="9" t="s">
        <v>2243</v>
      </c>
      <c r="I408" s="9" t="s">
        <v>421</v>
      </c>
      <c r="J408" s="9" t="s">
        <v>231</v>
      </c>
      <c r="K408" s="9" t="s">
        <v>2748</v>
      </c>
      <c r="L408" s="9" t="s">
        <v>2749</v>
      </c>
      <c r="M408" s="9" t="s">
        <v>424</v>
      </c>
      <c r="N408" s="9" t="s">
        <v>2750</v>
      </c>
    </row>
    <row r="409" customFormat="false" ht="15" hidden="false" customHeight="true" outlineLevel="0" collapsed="false">
      <c r="A409" s="9" t="n">
        <v>405</v>
      </c>
      <c r="B409" s="9" t="s">
        <v>2751</v>
      </c>
      <c r="C409" s="9" t="s">
        <v>2752</v>
      </c>
      <c r="D409" s="9" t="s">
        <v>18</v>
      </c>
      <c r="E409" s="9" t="s">
        <v>2753</v>
      </c>
      <c r="F409" s="9" t="s">
        <v>2754</v>
      </c>
      <c r="G409" s="9" t="s">
        <v>2755</v>
      </c>
      <c r="H409" s="9" t="s">
        <v>2243</v>
      </c>
      <c r="I409" s="9" t="s">
        <v>54</v>
      </c>
      <c r="J409" s="9" t="s">
        <v>231</v>
      </c>
      <c r="K409" s="9" t="s">
        <v>2756</v>
      </c>
      <c r="L409" s="9" t="s">
        <v>2757</v>
      </c>
      <c r="M409" s="9" t="s">
        <v>424</v>
      </c>
      <c r="N409" s="9" t="s">
        <v>2758</v>
      </c>
    </row>
    <row r="410" customFormat="false" ht="15" hidden="false" customHeight="true" outlineLevel="0" collapsed="false">
      <c r="A410" s="9" t="n">
        <v>406</v>
      </c>
      <c r="B410" s="9" t="s">
        <v>2759</v>
      </c>
      <c r="C410" s="9" t="s">
        <v>2760</v>
      </c>
      <c r="D410" s="9" t="s">
        <v>18</v>
      </c>
      <c r="E410" s="9" t="s">
        <v>2584</v>
      </c>
      <c r="F410" s="9" t="s">
        <v>33</v>
      </c>
      <c r="G410" s="9" t="s">
        <v>2761</v>
      </c>
      <c r="H410" s="9" t="s">
        <v>2243</v>
      </c>
      <c r="I410" s="9" t="s">
        <v>421</v>
      </c>
      <c r="J410" s="9" t="s">
        <v>231</v>
      </c>
      <c r="K410" s="9" t="s">
        <v>2762</v>
      </c>
      <c r="L410" s="9" t="s">
        <v>2763</v>
      </c>
      <c r="M410" s="9" t="s">
        <v>424</v>
      </c>
      <c r="N410" s="9" t="s">
        <v>2764</v>
      </c>
    </row>
    <row r="411" customFormat="false" ht="15" hidden="false" customHeight="true" outlineLevel="0" collapsed="false">
      <c r="A411" s="9" t="n">
        <v>407</v>
      </c>
      <c r="B411" s="9" t="s">
        <v>2765</v>
      </c>
      <c r="C411" s="9" t="s">
        <v>2766</v>
      </c>
      <c r="D411" s="9" t="s">
        <v>18</v>
      </c>
      <c r="E411" s="9" t="s">
        <v>2577</v>
      </c>
      <c r="F411" s="9" t="s">
        <v>33</v>
      </c>
      <c r="G411" s="9" t="s">
        <v>2767</v>
      </c>
      <c r="H411" s="9" t="s">
        <v>2243</v>
      </c>
      <c r="I411" s="9" t="s">
        <v>421</v>
      </c>
      <c r="J411" s="9" t="s">
        <v>231</v>
      </c>
      <c r="K411" s="9" t="s">
        <v>2768</v>
      </c>
      <c r="L411" s="9" t="s">
        <v>2769</v>
      </c>
      <c r="M411" s="9" t="s">
        <v>424</v>
      </c>
      <c r="N411" s="9" t="s">
        <v>2770</v>
      </c>
    </row>
    <row r="412" customFormat="false" ht="15" hidden="false" customHeight="true" outlineLevel="0" collapsed="false">
      <c r="A412" s="9" t="n">
        <v>408</v>
      </c>
      <c r="B412" s="9" t="s">
        <v>2771</v>
      </c>
      <c r="C412" s="9" t="s">
        <v>2772</v>
      </c>
      <c r="D412" s="9" t="s">
        <v>18</v>
      </c>
      <c r="E412" s="9" t="s">
        <v>2773</v>
      </c>
      <c r="F412" s="9" t="s">
        <v>33</v>
      </c>
      <c r="G412" s="9" t="s">
        <v>2774</v>
      </c>
      <c r="H412" s="9" t="s">
        <v>2243</v>
      </c>
      <c r="I412" s="9" t="s">
        <v>421</v>
      </c>
      <c r="J412" s="9" t="s">
        <v>231</v>
      </c>
      <c r="K412" s="9" t="s">
        <v>2775</v>
      </c>
      <c r="L412" s="9" t="s">
        <v>2776</v>
      </c>
      <c r="M412" s="9" t="s">
        <v>424</v>
      </c>
      <c r="N412" s="9" t="s">
        <v>2777</v>
      </c>
    </row>
    <row r="413" customFormat="false" ht="15" hidden="false" customHeight="true" outlineLevel="0" collapsed="false">
      <c r="A413" s="9" t="n">
        <v>409</v>
      </c>
      <c r="B413" s="9" t="s">
        <v>2778</v>
      </c>
      <c r="C413" s="9" t="s">
        <v>2779</v>
      </c>
      <c r="D413" s="9" t="s">
        <v>77</v>
      </c>
      <c r="E413" s="9" t="s">
        <v>2780</v>
      </c>
      <c r="F413" s="9" t="s">
        <v>33</v>
      </c>
      <c r="G413" s="9" t="s">
        <v>2781</v>
      </c>
      <c r="H413" s="9" t="s">
        <v>2243</v>
      </c>
      <c r="I413" s="9" t="s">
        <v>54</v>
      </c>
      <c r="J413" s="9" t="s">
        <v>231</v>
      </c>
      <c r="K413" s="9" t="s">
        <v>2782</v>
      </c>
      <c r="L413" s="9" t="s">
        <v>2783</v>
      </c>
      <c r="M413" s="9" t="s">
        <v>424</v>
      </c>
      <c r="N413" s="9" t="s">
        <v>2784</v>
      </c>
    </row>
    <row r="414" customFormat="false" ht="15" hidden="false" customHeight="true" outlineLevel="0" collapsed="false">
      <c r="A414" s="9" t="n">
        <v>410</v>
      </c>
      <c r="B414" s="9" t="s">
        <v>2785</v>
      </c>
      <c r="C414" s="9" t="s">
        <v>2786</v>
      </c>
      <c r="D414" s="9" t="s">
        <v>77</v>
      </c>
      <c r="E414" s="9" t="s">
        <v>2787</v>
      </c>
      <c r="F414" s="9" t="s">
        <v>33</v>
      </c>
      <c r="G414" s="9" t="s">
        <v>2788</v>
      </c>
      <c r="H414" s="9" t="s">
        <v>2243</v>
      </c>
      <c r="I414" s="9" t="s">
        <v>54</v>
      </c>
      <c r="J414" s="9" t="s">
        <v>231</v>
      </c>
      <c r="K414" s="9" t="s">
        <v>2789</v>
      </c>
      <c r="L414" s="9" t="s">
        <v>2790</v>
      </c>
      <c r="M414" s="9" t="s">
        <v>424</v>
      </c>
      <c r="N414" s="9" t="s">
        <v>2791</v>
      </c>
    </row>
    <row r="415" customFormat="false" ht="15" hidden="false" customHeight="true" outlineLevel="0" collapsed="false">
      <c r="A415" s="9" t="n">
        <v>411</v>
      </c>
      <c r="B415" s="9" t="s">
        <v>2792</v>
      </c>
      <c r="C415" s="9" t="s">
        <v>2793</v>
      </c>
      <c r="D415" s="9" t="s">
        <v>77</v>
      </c>
      <c r="E415" s="9" t="s">
        <v>2794</v>
      </c>
      <c r="F415" s="9" t="s">
        <v>33</v>
      </c>
      <c r="G415" s="9" t="s">
        <v>2795</v>
      </c>
      <c r="H415" s="9" t="s">
        <v>2243</v>
      </c>
      <c r="I415" s="9" t="s">
        <v>421</v>
      </c>
      <c r="J415" s="9" t="s">
        <v>231</v>
      </c>
      <c r="K415" s="9" t="s">
        <v>2796</v>
      </c>
      <c r="L415" s="9" t="s">
        <v>2797</v>
      </c>
      <c r="M415" s="9" t="s">
        <v>424</v>
      </c>
      <c r="N415" s="9" t="s">
        <v>2798</v>
      </c>
    </row>
    <row r="416" customFormat="false" ht="15" hidden="false" customHeight="true" outlineLevel="0" collapsed="false">
      <c r="A416" s="9" t="n">
        <v>412</v>
      </c>
      <c r="B416" s="9" t="s">
        <v>2799</v>
      </c>
      <c r="C416" s="9" t="s">
        <v>2800</v>
      </c>
      <c r="D416" s="9" t="s">
        <v>60</v>
      </c>
      <c r="E416" s="9" t="s">
        <v>2801</v>
      </c>
      <c r="F416" s="9" t="s">
        <v>33</v>
      </c>
      <c r="G416" s="9" t="s">
        <v>2802</v>
      </c>
      <c r="H416" s="9" t="s">
        <v>2243</v>
      </c>
      <c r="I416" s="9" t="s">
        <v>421</v>
      </c>
      <c r="J416" s="9" t="s">
        <v>231</v>
      </c>
      <c r="K416" s="9" t="s">
        <v>2803</v>
      </c>
      <c r="L416" s="9" t="s">
        <v>2804</v>
      </c>
      <c r="M416" s="9" t="s">
        <v>424</v>
      </c>
      <c r="N416" s="9" t="s">
        <v>2805</v>
      </c>
    </row>
    <row r="417" customFormat="false" ht="15" hidden="false" customHeight="true" outlineLevel="0" collapsed="false">
      <c r="A417" s="9" t="n">
        <v>413</v>
      </c>
      <c r="B417" s="9" t="s">
        <v>2806</v>
      </c>
      <c r="C417" s="9" t="s">
        <v>2807</v>
      </c>
      <c r="D417" s="9" t="s">
        <v>60</v>
      </c>
      <c r="E417" s="9" t="s">
        <v>2808</v>
      </c>
      <c r="F417" s="9" t="s">
        <v>33</v>
      </c>
      <c r="G417" s="9" t="s">
        <v>2809</v>
      </c>
      <c r="H417" s="9" t="s">
        <v>2243</v>
      </c>
      <c r="I417" s="9" t="s">
        <v>421</v>
      </c>
      <c r="J417" s="9" t="s">
        <v>231</v>
      </c>
      <c r="K417" s="9" t="s">
        <v>2810</v>
      </c>
      <c r="L417" s="9" t="s">
        <v>2811</v>
      </c>
      <c r="M417" s="9" t="s">
        <v>424</v>
      </c>
      <c r="N417" s="9" t="s">
        <v>2812</v>
      </c>
    </row>
    <row r="418" customFormat="false" ht="15" hidden="false" customHeight="true" outlineLevel="0" collapsed="false">
      <c r="A418" s="9" t="n">
        <v>414</v>
      </c>
      <c r="B418" s="9" t="s">
        <v>2813</v>
      </c>
      <c r="C418" s="9" t="s">
        <v>2814</v>
      </c>
      <c r="D418" s="9" t="s">
        <v>60</v>
      </c>
      <c r="E418" s="9" t="s">
        <v>2815</v>
      </c>
      <c r="F418" s="9" t="s">
        <v>33</v>
      </c>
      <c r="G418" s="9" t="s">
        <v>2816</v>
      </c>
      <c r="H418" s="9" t="s">
        <v>2243</v>
      </c>
      <c r="I418" s="9" t="s">
        <v>421</v>
      </c>
      <c r="J418" s="9" t="s">
        <v>231</v>
      </c>
      <c r="K418" s="9" t="s">
        <v>2817</v>
      </c>
      <c r="L418" s="9" t="s">
        <v>2818</v>
      </c>
      <c r="M418" s="9" t="s">
        <v>424</v>
      </c>
      <c r="N418" s="9" t="s">
        <v>2819</v>
      </c>
    </row>
    <row r="419" customFormat="false" ht="15" hidden="false" customHeight="true" outlineLevel="0" collapsed="false">
      <c r="A419" s="9" t="n">
        <v>415</v>
      </c>
      <c r="B419" s="9" t="s">
        <v>1272</v>
      </c>
      <c r="C419" s="9" t="s">
        <v>1273</v>
      </c>
      <c r="D419" s="9" t="s">
        <v>2820</v>
      </c>
      <c r="E419" s="9" t="s">
        <v>2821</v>
      </c>
      <c r="F419" s="9" t="s">
        <v>33</v>
      </c>
      <c r="G419" s="9" t="s">
        <v>1274</v>
      </c>
      <c r="H419" s="9" t="s">
        <v>2243</v>
      </c>
      <c r="I419" s="9" t="s">
        <v>421</v>
      </c>
      <c r="J419" s="9" t="s">
        <v>231</v>
      </c>
      <c r="K419" s="9" t="s">
        <v>2822</v>
      </c>
      <c r="L419" s="9" t="s">
        <v>2823</v>
      </c>
      <c r="M419" s="9" t="s">
        <v>424</v>
      </c>
      <c r="N419" s="9"/>
    </row>
    <row r="420" customFormat="false" ht="15" hidden="false" customHeight="true" outlineLevel="0" collapsed="false">
      <c r="A420" s="9" t="n">
        <v>416</v>
      </c>
      <c r="B420" s="9" t="s">
        <v>2824</v>
      </c>
      <c r="C420" s="9" t="s">
        <v>875</v>
      </c>
      <c r="D420" s="9" t="s">
        <v>2820</v>
      </c>
      <c r="E420" s="9" t="s">
        <v>2825</v>
      </c>
      <c r="F420" s="9" t="s">
        <v>33</v>
      </c>
      <c r="G420" s="9" t="s">
        <v>877</v>
      </c>
      <c r="H420" s="9" t="s">
        <v>2243</v>
      </c>
      <c r="I420" s="9" t="s">
        <v>421</v>
      </c>
      <c r="J420" s="9" t="s">
        <v>231</v>
      </c>
      <c r="K420" s="9" t="s">
        <v>2826</v>
      </c>
      <c r="L420" s="9" t="s">
        <v>2827</v>
      </c>
      <c r="M420" s="9" t="s">
        <v>424</v>
      </c>
      <c r="N420" s="9"/>
    </row>
    <row r="421" customFormat="false" ht="15" hidden="false" customHeight="true" outlineLevel="0" collapsed="false">
      <c r="A421" s="9" t="n">
        <v>417</v>
      </c>
      <c r="B421" s="9" t="s">
        <v>2828</v>
      </c>
      <c r="C421" s="9" t="s">
        <v>2829</v>
      </c>
      <c r="D421" s="9" t="s">
        <v>2820</v>
      </c>
      <c r="E421" s="9" t="s">
        <v>2830</v>
      </c>
      <c r="F421" s="9" t="s">
        <v>33</v>
      </c>
      <c r="G421" s="9" t="s">
        <v>2831</v>
      </c>
      <c r="H421" s="9" t="s">
        <v>2243</v>
      </c>
      <c r="I421" s="9" t="s">
        <v>421</v>
      </c>
      <c r="J421" s="9" t="s">
        <v>231</v>
      </c>
      <c r="K421" s="9" t="s">
        <v>2832</v>
      </c>
      <c r="L421" s="9" t="s">
        <v>2833</v>
      </c>
      <c r="M421" s="9" t="s">
        <v>424</v>
      </c>
      <c r="N421" s="9"/>
    </row>
    <row r="422" customFormat="false" ht="15" hidden="false" customHeight="true" outlineLevel="0" collapsed="false">
      <c r="A422" s="9" t="n">
        <v>418</v>
      </c>
      <c r="B422" s="9" t="s">
        <v>1553</v>
      </c>
      <c r="C422" s="9" t="s">
        <v>1554</v>
      </c>
      <c r="D422" s="9" t="s">
        <v>2820</v>
      </c>
      <c r="E422" s="9" t="s">
        <v>2834</v>
      </c>
      <c r="F422" s="9" t="s">
        <v>33</v>
      </c>
      <c r="G422" s="9" t="s">
        <v>1555</v>
      </c>
      <c r="H422" s="9" t="s">
        <v>2243</v>
      </c>
      <c r="I422" s="9" t="s">
        <v>421</v>
      </c>
      <c r="J422" s="9" t="s">
        <v>231</v>
      </c>
      <c r="K422" s="9" t="s">
        <v>2835</v>
      </c>
      <c r="L422" s="9" t="s">
        <v>2836</v>
      </c>
      <c r="M422" s="9" t="s">
        <v>424</v>
      </c>
      <c r="N422" s="9"/>
    </row>
    <row r="423" customFormat="false" ht="15" hidden="false" customHeight="true" outlineLevel="0" collapsed="false">
      <c r="A423" s="9" t="n">
        <v>419</v>
      </c>
      <c r="B423" s="9" t="s">
        <v>2837</v>
      </c>
      <c r="C423" s="9" t="s">
        <v>2838</v>
      </c>
      <c r="D423" s="9" t="s">
        <v>2839</v>
      </c>
      <c r="E423" s="9" t="s">
        <v>2840</v>
      </c>
      <c r="F423" s="9" t="s">
        <v>33</v>
      </c>
      <c r="G423" s="9" t="s">
        <v>2841</v>
      </c>
      <c r="H423" s="9" t="s">
        <v>2243</v>
      </c>
      <c r="I423" s="9" t="s">
        <v>421</v>
      </c>
      <c r="J423" s="9" t="s">
        <v>231</v>
      </c>
      <c r="K423" s="9" t="s">
        <v>2842</v>
      </c>
      <c r="L423" s="9" t="s">
        <v>2843</v>
      </c>
      <c r="M423" s="9" t="s">
        <v>424</v>
      </c>
      <c r="N423" s="9"/>
    </row>
    <row r="424" customFormat="false" ht="15" hidden="false" customHeight="true" outlineLevel="0" collapsed="false">
      <c r="A424" s="9" t="n">
        <v>420</v>
      </c>
      <c r="B424" s="9" t="s">
        <v>1792</v>
      </c>
      <c r="C424" s="9" t="s">
        <v>1793</v>
      </c>
      <c r="D424" s="9" t="s">
        <v>2839</v>
      </c>
      <c r="E424" s="9" t="s">
        <v>2844</v>
      </c>
      <c r="F424" s="9" t="s">
        <v>33</v>
      </c>
      <c r="G424" s="9" t="s">
        <v>1794</v>
      </c>
      <c r="H424" s="9" t="s">
        <v>2243</v>
      </c>
      <c r="I424" s="9" t="s">
        <v>421</v>
      </c>
      <c r="J424" s="9" t="s">
        <v>231</v>
      </c>
      <c r="K424" s="9" t="s">
        <v>2845</v>
      </c>
      <c r="L424" s="9" t="s">
        <v>2846</v>
      </c>
      <c r="M424" s="9" t="s">
        <v>424</v>
      </c>
      <c r="N424" s="9"/>
    </row>
    <row r="425" customFormat="false" ht="15" hidden="false" customHeight="true" outlineLevel="0" collapsed="false">
      <c r="A425" s="9" t="n">
        <v>421</v>
      </c>
      <c r="B425" s="9" t="s">
        <v>2847</v>
      </c>
      <c r="C425" s="9" t="s">
        <v>2848</v>
      </c>
      <c r="D425" s="9" t="s">
        <v>2839</v>
      </c>
      <c r="E425" s="9" t="s">
        <v>2840</v>
      </c>
      <c r="F425" s="9" t="s">
        <v>33</v>
      </c>
      <c r="G425" s="9" t="s">
        <v>2849</v>
      </c>
      <c r="H425" s="9" t="s">
        <v>2243</v>
      </c>
      <c r="I425" s="9" t="s">
        <v>421</v>
      </c>
      <c r="J425" s="9" t="s">
        <v>231</v>
      </c>
      <c r="K425" s="9" t="s">
        <v>2850</v>
      </c>
      <c r="L425" s="9" t="s">
        <v>2851</v>
      </c>
      <c r="M425" s="9" t="s">
        <v>424</v>
      </c>
      <c r="N425" s="9"/>
    </row>
    <row r="426" customFormat="false" ht="15" hidden="false" customHeight="true" outlineLevel="0" collapsed="false">
      <c r="A426" s="9" t="n">
        <v>422</v>
      </c>
      <c r="B426" s="9" t="s">
        <v>2852</v>
      </c>
      <c r="C426" s="9" t="s">
        <v>2853</v>
      </c>
      <c r="D426" s="9" t="s">
        <v>2839</v>
      </c>
      <c r="E426" s="9" t="s">
        <v>2854</v>
      </c>
      <c r="F426" s="9" t="s">
        <v>33</v>
      </c>
      <c r="G426" s="9" t="s">
        <v>2855</v>
      </c>
      <c r="H426" s="9" t="s">
        <v>2243</v>
      </c>
      <c r="I426" s="9" t="s">
        <v>421</v>
      </c>
      <c r="J426" s="9" t="s">
        <v>231</v>
      </c>
      <c r="K426" s="9" t="s">
        <v>2856</v>
      </c>
      <c r="L426" s="9" t="s">
        <v>2857</v>
      </c>
      <c r="M426" s="9" t="s">
        <v>424</v>
      </c>
      <c r="N426" s="9"/>
    </row>
    <row r="427" customFormat="false" ht="15" hidden="false" customHeight="true" outlineLevel="0" collapsed="false">
      <c r="A427" s="9" t="n">
        <v>423</v>
      </c>
      <c r="B427" s="9" t="s">
        <v>2858</v>
      </c>
      <c r="C427" s="9" t="s">
        <v>2859</v>
      </c>
      <c r="D427" s="9" t="s">
        <v>2839</v>
      </c>
      <c r="E427" s="9" t="s">
        <v>2860</v>
      </c>
      <c r="F427" s="9" t="s">
        <v>33</v>
      </c>
      <c r="G427" s="9" t="s">
        <v>2861</v>
      </c>
      <c r="H427" s="9" t="s">
        <v>2243</v>
      </c>
      <c r="I427" s="9" t="s">
        <v>421</v>
      </c>
      <c r="J427" s="9" t="s">
        <v>231</v>
      </c>
      <c r="K427" s="9" t="s">
        <v>2862</v>
      </c>
      <c r="L427" s="9" t="s">
        <v>2863</v>
      </c>
      <c r="M427" s="9" t="s">
        <v>424</v>
      </c>
      <c r="N427" s="9"/>
    </row>
    <row r="428" customFormat="false" ht="15" hidden="false" customHeight="true" outlineLevel="0" collapsed="false">
      <c r="A428" s="9" t="n">
        <v>424</v>
      </c>
      <c r="B428" s="9" t="s">
        <v>2864</v>
      </c>
      <c r="C428" s="9" t="s">
        <v>2865</v>
      </c>
      <c r="D428" s="9" t="s">
        <v>2866</v>
      </c>
      <c r="E428" s="9" t="s">
        <v>2867</v>
      </c>
      <c r="F428" s="9" t="s">
        <v>33</v>
      </c>
      <c r="G428" s="9" t="s">
        <v>2868</v>
      </c>
      <c r="H428" s="9" t="s">
        <v>2243</v>
      </c>
      <c r="I428" s="9" t="s">
        <v>421</v>
      </c>
      <c r="J428" s="9" t="s">
        <v>231</v>
      </c>
      <c r="K428" s="9" t="s">
        <v>2869</v>
      </c>
      <c r="L428" s="9" t="s">
        <v>2870</v>
      </c>
      <c r="M428" s="9" t="s">
        <v>424</v>
      </c>
      <c r="N428" s="9"/>
    </row>
    <row r="429" customFormat="false" ht="15" hidden="false" customHeight="true" outlineLevel="0" collapsed="false">
      <c r="A429" s="9" t="n">
        <v>425</v>
      </c>
      <c r="B429" s="9" t="s">
        <v>2871</v>
      </c>
      <c r="C429" s="9" t="s">
        <v>2872</v>
      </c>
      <c r="D429" s="9" t="s">
        <v>2866</v>
      </c>
      <c r="E429" s="9" t="s">
        <v>2844</v>
      </c>
      <c r="F429" s="9" t="s">
        <v>33</v>
      </c>
      <c r="G429" s="9" t="s">
        <v>2873</v>
      </c>
      <c r="H429" s="9" t="s">
        <v>2243</v>
      </c>
      <c r="I429" s="9" t="s">
        <v>421</v>
      </c>
      <c r="J429" s="9" t="s">
        <v>231</v>
      </c>
      <c r="K429" s="9" t="s">
        <v>2874</v>
      </c>
      <c r="L429" s="9" t="s">
        <v>2875</v>
      </c>
      <c r="M429" s="9" t="s">
        <v>424</v>
      </c>
      <c r="N429" s="9"/>
    </row>
    <row r="430" customFormat="false" ht="15" hidden="false" customHeight="true" outlineLevel="0" collapsed="false">
      <c r="A430" s="9" t="n">
        <v>426</v>
      </c>
      <c r="B430" s="9" t="s">
        <v>1050</v>
      </c>
      <c r="C430" s="9" t="s">
        <v>1051</v>
      </c>
      <c r="D430" s="9" t="s">
        <v>2876</v>
      </c>
      <c r="E430" s="9" t="s">
        <v>2877</v>
      </c>
      <c r="F430" s="9" t="s">
        <v>33</v>
      </c>
      <c r="G430" s="9" t="s">
        <v>1052</v>
      </c>
      <c r="H430" s="9" t="s">
        <v>2243</v>
      </c>
      <c r="I430" s="9" t="s">
        <v>421</v>
      </c>
      <c r="J430" s="9" t="s">
        <v>231</v>
      </c>
      <c r="K430" s="9" t="s">
        <v>2878</v>
      </c>
      <c r="L430" s="9" t="s">
        <v>2879</v>
      </c>
      <c r="M430" s="9" t="s">
        <v>424</v>
      </c>
      <c r="N430" s="9"/>
    </row>
    <row r="431" customFormat="false" ht="15" hidden="false" customHeight="true" outlineLevel="0" collapsed="false">
      <c r="A431" s="9" t="n">
        <v>427</v>
      </c>
      <c r="B431" s="9" t="s">
        <v>2880</v>
      </c>
      <c r="C431" s="9" t="s">
        <v>2881</v>
      </c>
      <c r="D431" s="9" t="s">
        <v>2876</v>
      </c>
      <c r="E431" s="9" t="s">
        <v>2882</v>
      </c>
      <c r="F431" s="9" t="s">
        <v>33</v>
      </c>
      <c r="G431" s="9" t="s">
        <v>2883</v>
      </c>
      <c r="H431" s="9" t="s">
        <v>2243</v>
      </c>
      <c r="I431" s="9" t="s">
        <v>421</v>
      </c>
      <c r="J431" s="9" t="s">
        <v>231</v>
      </c>
      <c r="K431" s="9" t="s">
        <v>2884</v>
      </c>
      <c r="L431" s="9" t="s">
        <v>2885</v>
      </c>
      <c r="M431" s="9" t="s">
        <v>424</v>
      </c>
      <c r="N431" s="9"/>
    </row>
    <row r="432" customFormat="false" ht="15" hidden="false" customHeight="true" outlineLevel="0" collapsed="false">
      <c r="A432" s="9" t="n">
        <v>428</v>
      </c>
      <c r="B432" s="9" t="s">
        <v>1304</v>
      </c>
      <c r="C432" s="9" t="s">
        <v>1305</v>
      </c>
      <c r="D432" s="9" t="s">
        <v>2866</v>
      </c>
      <c r="E432" s="9" t="s">
        <v>2886</v>
      </c>
      <c r="F432" s="9" t="s">
        <v>33</v>
      </c>
      <c r="G432" s="9" t="s">
        <v>1306</v>
      </c>
      <c r="H432" s="9" t="s">
        <v>2243</v>
      </c>
      <c r="I432" s="9" t="s">
        <v>421</v>
      </c>
      <c r="J432" s="9" t="s">
        <v>231</v>
      </c>
      <c r="K432" s="9" t="s">
        <v>2887</v>
      </c>
      <c r="L432" s="9" t="s">
        <v>2888</v>
      </c>
      <c r="M432" s="9" t="s">
        <v>424</v>
      </c>
      <c r="N432" s="9"/>
    </row>
    <row r="433" customFormat="false" ht="15" hidden="false" customHeight="true" outlineLevel="0" collapsed="false">
      <c r="A433" s="9" t="n">
        <v>429</v>
      </c>
      <c r="B433" s="9" t="s">
        <v>1475</v>
      </c>
      <c r="C433" s="9" t="s">
        <v>1476</v>
      </c>
      <c r="D433" s="9" t="s">
        <v>2876</v>
      </c>
      <c r="E433" s="9" t="s">
        <v>2889</v>
      </c>
      <c r="F433" s="9" t="s">
        <v>33</v>
      </c>
      <c r="G433" s="9" t="s">
        <v>1477</v>
      </c>
      <c r="H433" s="9" t="s">
        <v>2243</v>
      </c>
      <c r="I433" s="9" t="s">
        <v>421</v>
      </c>
      <c r="J433" s="9" t="s">
        <v>231</v>
      </c>
      <c r="K433" s="9" t="s">
        <v>2890</v>
      </c>
      <c r="L433" s="9" t="s">
        <v>2891</v>
      </c>
      <c r="M433" s="9" t="s">
        <v>424</v>
      </c>
      <c r="N433" s="9"/>
    </row>
    <row r="434" customFormat="false" ht="15" hidden="false" customHeight="true" outlineLevel="0" collapsed="false">
      <c r="A434" s="9" t="n">
        <v>430</v>
      </c>
      <c r="B434" s="9" t="s">
        <v>674</v>
      </c>
      <c r="C434" s="9" t="s">
        <v>675</v>
      </c>
      <c r="D434" s="9" t="s">
        <v>2892</v>
      </c>
      <c r="E434" s="9" t="s">
        <v>2893</v>
      </c>
      <c r="F434" s="9" t="s">
        <v>33</v>
      </c>
      <c r="G434" s="9" t="s">
        <v>677</v>
      </c>
      <c r="H434" s="9" t="s">
        <v>2243</v>
      </c>
      <c r="I434" s="9" t="s">
        <v>421</v>
      </c>
      <c r="J434" s="9" t="s">
        <v>231</v>
      </c>
      <c r="K434" s="9" t="s">
        <v>2894</v>
      </c>
      <c r="L434" s="9" t="s">
        <v>2895</v>
      </c>
      <c r="M434" s="9" t="s">
        <v>424</v>
      </c>
      <c r="N434" s="9"/>
    </row>
    <row r="435" customFormat="false" ht="15" hidden="false" customHeight="true" outlineLevel="0" collapsed="false">
      <c r="A435" s="9" t="n">
        <v>431</v>
      </c>
      <c r="B435" s="9" t="s">
        <v>1226</v>
      </c>
      <c r="C435" s="9" t="s">
        <v>1227</v>
      </c>
      <c r="D435" s="9" t="s">
        <v>2892</v>
      </c>
      <c r="E435" s="9" t="s">
        <v>2896</v>
      </c>
      <c r="F435" s="9" t="s">
        <v>33</v>
      </c>
      <c r="G435" s="9" t="s">
        <v>2897</v>
      </c>
      <c r="H435" s="9" t="s">
        <v>2243</v>
      </c>
      <c r="I435" s="9" t="s">
        <v>421</v>
      </c>
      <c r="J435" s="9" t="s">
        <v>231</v>
      </c>
      <c r="K435" s="9" t="s">
        <v>2898</v>
      </c>
      <c r="L435" s="9" t="s">
        <v>2899</v>
      </c>
      <c r="M435" s="9" t="s">
        <v>424</v>
      </c>
      <c r="N435" s="9"/>
    </row>
    <row r="436" customFormat="false" ht="15" hidden="false" customHeight="true" outlineLevel="0" collapsed="false">
      <c r="A436" s="9" t="n">
        <v>432</v>
      </c>
      <c r="B436" s="9" t="s">
        <v>718</v>
      </c>
      <c r="C436" s="9" t="s">
        <v>719</v>
      </c>
      <c r="D436" s="9" t="s">
        <v>2892</v>
      </c>
      <c r="E436" s="9" t="s">
        <v>2882</v>
      </c>
      <c r="F436" s="9" t="s">
        <v>33</v>
      </c>
      <c r="G436" s="9" t="s">
        <v>2900</v>
      </c>
      <c r="H436" s="9" t="s">
        <v>2243</v>
      </c>
      <c r="I436" s="9" t="s">
        <v>421</v>
      </c>
      <c r="J436" s="9" t="s">
        <v>231</v>
      </c>
      <c r="K436" s="9" t="s">
        <v>2901</v>
      </c>
      <c r="L436" s="9" t="s">
        <v>2902</v>
      </c>
      <c r="M436" s="9" t="s">
        <v>424</v>
      </c>
      <c r="N436" s="9"/>
    </row>
    <row r="437" customFormat="false" ht="15" hidden="false" customHeight="true" outlineLevel="0" collapsed="false">
      <c r="A437" s="9" t="n">
        <v>433</v>
      </c>
      <c r="B437" s="9" t="s">
        <v>2903</v>
      </c>
      <c r="C437" s="9" t="s">
        <v>1395</v>
      </c>
      <c r="D437" s="9" t="s">
        <v>2904</v>
      </c>
      <c r="E437" s="9" t="s">
        <v>2905</v>
      </c>
      <c r="F437" s="9" t="s">
        <v>33</v>
      </c>
      <c r="G437" s="9" t="s">
        <v>2906</v>
      </c>
      <c r="H437" s="9" t="s">
        <v>2243</v>
      </c>
      <c r="I437" s="9" t="s">
        <v>421</v>
      </c>
      <c r="J437" s="9" t="s">
        <v>231</v>
      </c>
      <c r="K437" s="9" t="s">
        <v>2907</v>
      </c>
      <c r="L437" s="9" t="s">
        <v>2908</v>
      </c>
      <c r="M437" s="9" t="s">
        <v>424</v>
      </c>
      <c r="N437" s="9"/>
    </row>
    <row r="438" customFormat="false" ht="15" hidden="false" customHeight="true" outlineLevel="0" collapsed="false">
      <c r="A438" s="9" t="n">
        <v>434</v>
      </c>
      <c r="B438" s="9" t="s">
        <v>2909</v>
      </c>
      <c r="C438" s="9" t="s">
        <v>2910</v>
      </c>
      <c r="D438" s="9" t="s">
        <v>2904</v>
      </c>
      <c r="E438" s="9" t="s">
        <v>2905</v>
      </c>
      <c r="F438" s="9" t="s">
        <v>33</v>
      </c>
      <c r="G438" s="9" t="s">
        <v>2911</v>
      </c>
      <c r="H438" s="9" t="s">
        <v>2243</v>
      </c>
      <c r="I438" s="9" t="s">
        <v>421</v>
      </c>
      <c r="J438" s="9" t="s">
        <v>231</v>
      </c>
      <c r="K438" s="9" t="s">
        <v>2912</v>
      </c>
      <c r="L438" s="9" t="s">
        <v>2913</v>
      </c>
      <c r="M438" s="9" t="s">
        <v>424</v>
      </c>
      <c r="N438" s="9"/>
    </row>
    <row r="439" customFormat="false" ht="15" hidden="false" customHeight="true" outlineLevel="0" collapsed="false">
      <c r="A439" s="9" t="n">
        <v>435</v>
      </c>
      <c r="B439" s="9" t="s">
        <v>2914</v>
      </c>
      <c r="C439" s="9" t="s">
        <v>2915</v>
      </c>
      <c r="D439" s="9" t="s">
        <v>2916</v>
      </c>
      <c r="E439" s="9" t="s">
        <v>2917</v>
      </c>
      <c r="F439" s="9" t="s">
        <v>33</v>
      </c>
      <c r="G439" s="9" t="s">
        <v>2918</v>
      </c>
      <c r="H439" s="9" t="s">
        <v>2243</v>
      </c>
      <c r="I439" s="9" t="s">
        <v>421</v>
      </c>
      <c r="J439" s="9" t="s">
        <v>231</v>
      </c>
      <c r="K439" s="9" t="s">
        <v>2919</v>
      </c>
      <c r="L439" s="9" t="s">
        <v>2920</v>
      </c>
      <c r="M439" s="9" t="s">
        <v>424</v>
      </c>
      <c r="N439" s="9"/>
    </row>
    <row r="440" customFormat="false" ht="15" hidden="false" customHeight="true" outlineLevel="0" collapsed="false">
      <c r="A440" s="9" t="n">
        <v>436</v>
      </c>
      <c r="B440" s="9" t="s">
        <v>2921</v>
      </c>
      <c r="C440" s="9" t="s">
        <v>529</v>
      </c>
      <c r="D440" s="9" t="s">
        <v>2916</v>
      </c>
      <c r="E440" s="9" t="s">
        <v>2922</v>
      </c>
      <c r="F440" s="9" t="s">
        <v>33</v>
      </c>
      <c r="G440" s="9" t="s">
        <v>530</v>
      </c>
      <c r="H440" s="9" t="s">
        <v>2243</v>
      </c>
      <c r="I440" s="9" t="s">
        <v>421</v>
      </c>
      <c r="J440" s="9" t="s">
        <v>231</v>
      </c>
      <c r="K440" s="9" t="s">
        <v>2923</v>
      </c>
      <c r="L440" s="9" t="s">
        <v>2924</v>
      </c>
      <c r="M440" s="9" t="s">
        <v>424</v>
      </c>
      <c r="N440" s="9"/>
    </row>
    <row r="441" customFormat="false" ht="15" hidden="false" customHeight="true" outlineLevel="0" collapsed="false">
      <c r="A441" s="9" t="n">
        <v>437</v>
      </c>
      <c r="B441" s="9" t="s">
        <v>2925</v>
      </c>
      <c r="C441" s="9" t="s">
        <v>2926</v>
      </c>
      <c r="D441" s="9" t="s">
        <v>2916</v>
      </c>
      <c r="E441" s="9" t="s">
        <v>2927</v>
      </c>
      <c r="F441" s="9" t="s">
        <v>33</v>
      </c>
      <c r="G441" s="9" t="s">
        <v>2928</v>
      </c>
      <c r="H441" s="9" t="s">
        <v>2243</v>
      </c>
      <c r="I441" s="9" t="s">
        <v>421</v>
      </c>
      <c r="J441" s="9" t="s">
        <v>231</v>
      </c>
      <c r="K441" s="9" t="s">
        <v>2929</v>
      </c>
      <c r="L441" s="9" t="s">
        <v>2930</v>
      </c>
      <c r="M441" s="9" t="s">
        <v>424</v>
      </c>
      <c r="N441" s="9"/>
    </row>
    <row r="442" customFormat="false" ht="15" hidden="false" customHeight="true" outlineLevel="0" collapsed="false">
      <c r="A442" s="9" t="n">
        <v>438</v>
      </c>
      <c r="B442" s="9" t="s">
        <v>2931</v>
      </c>
      <c r="C442" s="9" t="s">
        <v>40</v>
      </c>
      <c r="D442" s="9" t="s">
        <v>2876</v>
      </c>
      <c r="E442" s="9" t="s">
        <v>2932</v>
      </c>
      <c r="F442" s="9" t="s">
        <v>33</v>
      </c>
      <c r="G442" s="9" t="s">
        <v>43</v>
      </c>
      <c r="H442" s="9" t="s">
        <v>2243</v>
      </c>
      <c r="I442" s="9" t="s">
        <v>421</v>
      </c>
      <c r="J442" s="9" t="s">
        <v>231</v>
      </c>
      <c r="K442" s="9" t="s">
        <v>2933</v>
      </c>
      <c r="L442" s="9" t="s">
        <v>2934</v>
      </c>
      <c r="M442" s="9" t="s">
        <v>424</v>
      </c>
      <c r="N442" s="9" t="s">
        <v>2935</v>
      </c>
    </row>
    <row r="443" customFormat="false" ht="15" hidden="false" customHeight="true" outlineLevel="0" collapsed="false">
      <c r="A443" s="9" t="n">
        <v>439</v>
      </c>
      <c r="B443" s="9" t="s">
        <v>2936</v>
      </c>
      <c r="C443" s="9" t="s">
        <v>30</v>
      </c>
      <c r="D443" s="9" t="s">
        <v>2916</v>
      </c>
      <c r="E443" s="9" t="s">
        <v>2937</v>
      </c>
      <c r="F443" s="9" t="s">
        <v>33</v>
      </c>
      <c r="G443" s="9" t="s">
        <v>2938</v>
      </c>
      <c r="H443" s="9" t="s">
        <v>2243</v>
      </c>
      <c r="I443" s="9" t="s">
        <v>421</v>
      </c>
      <c r="J443" s="9" t="s">
        <v>231</v>
      </c>
      <c r="K443" s="9" t="s">
        <v>2939</v>
      </c>
      <c r="L443" s="9" t="s">
        <v>2940</v>
      </c>
      <c r="M443" s="9" t="s">
        <v>424</v>
      </c>
      <c r="N443" s="9"/>
    </row>
    <row r="444" customFormat="false" ht="15" hidden="false" customHeight="true" outlineLevel="0" collapsed="false">
      <c r="A444" s="9" t="n">
        <v>440</v>
      </c>
      <c r="B444" s="9" t="s">
        <v>1870</v>
      </c>
      <c r="C444" s="9" t="s">
        <v>1871</v>
      </c>
      <c r="D444" s="9" t="s">
        <v>2916</v>
      </c>
      <c r="E444" s="9" t="s">
        <v>2941</v>
      </c>
      <c r="F444" s="9" t="s">
        <v>33</v>
      </c>
      <c r="G444" s="9" t="s">
        <v>1873</v>
      </c>
      <c r="H444" s="9" t="s">
        <v>2243</v>
      </c>
      <c r="I444" s="9" t="s">
        <v>421</v>
      </c>
      <c r="J444" s="9" t="s">
        <v>231</v>
      </c>
      <c r="K444" s="9" t="s">
        <v>2942</v>
      </c>
      <c r="L444" s="9" t="s">
        <v>2943</v>
      </c>
      <c r="M444" s="9" t="s">
        <v>424</v>
      </c>
      <c r="N444" s="9"/>
    </row>
    <row r="445" customFormat="false" ht="15" hidden="false" customHeight="true" outlineLevel="0" collapsed="false">
      <c r="A445" s="9" t="n">
        <v>441</v>
      </c>
      <c r="B445" s="9" t="s">
        <v>2454</v>
      </c>
      <c r="C445" s="9" t="s">
        <v>2455</v>
      </c>
      <c r="D445" s="9" t="s">
        <v>2876</v>
      </c>
      <c r="E445" s="9" t="s">
        <v>2944</v>
      </c>
      <c r="F445" s="9" t="s">
        <v>33</v>
      </c>
      <c r="G445" s="9" t="s">
        <v>2945</v>
      </c>
      <c r="H445" s="9" t="s">
        <v>2243</v>
      </c>
      <c r="I445" s="9" t="s">
        <v>421</v>
      </c>
      <c r="J445" s="9" t="s">
        <v>231</v>
      </c>
      <c r="K445" s="9" t="s">
        <v>2946</v>
      </c>
      <c r="L445" s="9" t="s">
        <v>2947</v>
      </c>
      <c r="M445" s="9" t="s">
        <v>424</v>
      </c>
      <c r="N445" s="9" t="s">
        <v>2948</v>
      </c>
    </row>
    <row r="446" customFormat="false" ht="15" hidden="false" customHeight="true" outlineLevel="0" collapsed="false">
      <c r="A446" s="9" t="n">
        <v>442</v>
      </c>
      <c r="B446" s="9" t="s">
        <v>2949</v>
      </c>
      <c r="C446" s="9" t="s">
        <v>2950</v>
      </c>
      <c r="D446" s="9" t="s">
        <v>2876</v>
      </c>
      <c r="E446" s="9" t="s">
        <v>2951</v>
      </c>
      <c r="F446" s="9" t="s">
        <v>33</v>
      </c>
      <c r="G446" s="9" t="s">
        <v>2952</v>
      </c>
      <c r="H446" s="9" t="s">
        <v>2243</v>
      </c>
      <c r="I446" s="9" t="s">
        <v>421</v>
      </c>
      <c r="J446" s="9" t="s">
        <v>231</v>
      </c>
      <c r="K446" s="9" t="s">
        <v>2953</v>
      </c>
      <c r="L446" s="9" t="s">
        <v>2954</v>
      </c>
      <c r="M446" s="9" t="s">
        <v>424</v>
      </c>
      <c r="N446" s="9" t="s">
        <v>2948</v>
      </c>
    </row>
    <row r="447" customFormat="false" ht="15" hidden="false" customHeight="true" outlineLevel="0" collapsed="false">
      <c r="A447" s="9" t="n">
        <v>443</v>
      </c>
      <c r="B447" s="9" t="s">
        <v>2955</v>
      </c>
      <c r="C447" s="9" t="s">
        <v>2956</v>
      </c>
      <c r="D447" s="9" t="s">
        <v>2876</v>
      </c>
      <c r="E447" s="9" t="s">
        <v>2957</v>
      </c>
      <c r="F447" s="9" t="s">
        <v>33</v>
      </c>
      <c r="G447" s="9" t="s">
        <v>2958</v>
      </c>
      <c r="H447" s="9" t="s">
        <v>2243</v>
      </c>
      <c r="I447" s="9" t="s">
        <v>421</v>
      </c>
      <c r="J447" s="9" t="s">
        <v>231</v>
      </c>
      <c r="K447" s="9" t="s">
        <v>2959</v>
      </c>
      <c r="L447" s="9" t="s">
        <v>2960</v>
      </c>
      <c r="M447" s="9" t="s">
        <v>424</v>
      </c>
      <c r="N447" s="9" t="s">
        <v>2948</v>
      </c>
    </row>
    <row r="448" customFormat="false" ht="15" hidden="false" customHeight="true" outlineLevel="0" collapsed="false">
      <c r="A448" s="9" t="n">
        <v>444</v>
      </c>
      <c r="B448" s="9" t="s">
        <v>2961</v>
      </c>
      <c r="C448" s="9" t="s">
        <v>2962</v>
      </c>
      <c r="D448" s="9" t="s">
        <v>2876</v>
      </c>
      <c r="E448" s="9" t="s">
        <v>2963</v>
      </c>
      <c r="F448" s="9" t="s">
        <v>33</v>
      </c>
      <c r="G448" s="9" t="s">
        <v>2964</v>
      </c>
      <c r="H448" s="9" t="s">
        <v>2243</v>
      </c>
      <c r="I448" s="9" t="s">
        <v>421</v>
      </c>
      <c r="J448" s="9" t="s">
        <v>231</v>
      </c>
      <c r="K448" s="9" t="s">
        <v>2965</v>
      </c>
      <c r="L448" s="9" t="s">
        <v>2966</v>
      </c>
      <c r="M448" s="9" t="s">
        <v>424</v>
      </c>
      <c r="N448" s="9" t="s">
        <v>2948</v>
      </c>
    </row>
    <row r="449" customFormat="false" ht="15" hidden="false" customHeight="true" outlineLevel="0" collapsed="false">
      <c r="A449" s="9" t="n">
        <v>445</v>
      </c>
      <c r="B449" s="9" t="s">
        <v>2967</v>
      </c>
      <c r="C449" s="9" t="s">
        <v>2968</v>
      </c>
      <c r="D449" s="9" t="s">
        <v>2876</v>
      </c>
      <c r="E449" s="9" t="s">
        <v>2969</v>
      </c>
      <c r="F449" s="9" t="s">
        <v>33</v>
      </c>
      <c r="G449" s="9" t="s">
        <v>2970</v>
      </c>
      <c r="H449" s="9" t="s">
        <v>2243</v>
      </c>
      <c r="I449" s="9" t="s">
        <v>421</v>
      </c>
      <c r="J449" s="9" t="s">
        <v>231</v>
      </c>
      <c r="K449" s="9" t="s">
        <v>2971</v>
      </c>
      <c r="L449" s="9" t="s">
        <v>2972</v>
      </c>
      <c r="M449" s="9" t="s">
        <v>424</v>
      </c>
      <c r="N449" s="9" t="s">
        <v>2973</v>
      </c>
    </row>
    <row r="450" customFormat="false" ht="15" hidden="false" customHeight="true" outlineLevel="0" collapsed="false">
      <c r="A450" s="9" t="n">
        <v>446</v>
      </c>
      <c r="B450" s="9" t="s">
        <v>2974</v>
      </c>
      <c r="C450" s="9" t="s">
        <v>2975</v>
      </c>
      <c r="D450" s="9" t="s">
        <v>2876</v>
      </c>
      <c r="E450" s="9" t="s">
        <v>2976</v>
      </c>
      <c r="F450" s="9" t="s">
        <v>33</v>
      </c>
      <c r="G450" s="9" t="s">
        <v>2572</v>
      </c>
      <c r="H450" s="9" t="s">
        <v>2243</v>
      </c>
      <c r="I450" s="9" t="s">
        <v>421</v>
      </c>
      <c r="J450" s="9" t="s">
        <v>231</v>
      </c>
      <c r="K450" s="9" t="s">
        <v>2977</v>
      </c>
      <c r="L450" s="9" t="s">
        <v>2978</v>
      </c>
      <c r="M450" s="9" t="s">
        <v>424</v>
      </c>
      <c r="N450" s="9" t="s">
        <v>2973</v>
      </c>
    </row>
    <row r="451" customFormat="false" ht="15" hidden="false" customHeight="true" outlineLevel="0" collapsed="false">
      <c r="A451" s="9" t="n">
        <v>447</v>
      </c>
      <c r="B451" s="9" t="s">
        <v>987</v>
      </c>
      <c r="C451" s="9" t="s">
        <v>2979</v>
      </c>
      <c r="D451" s="9" t="s">
        <v>2892</v>
      </c>
      <c r="E451" s="9" t="s">
        <v>2980</v>
      </c>
      <c r="F451" s="9" t="s">
        <v>33</v>
      </c>
      <c r="G451" s="9" t="s">
        <v>989</v>
      </c>
      <c r="H451" s="9" t="s">
        <v>2243</v>
      </c>
      <c r="I451" s="9" t="s">
        <v>421</v>
      </c>
      <c r="J451" s="9" t="s">
        <v>231</v>
      </c>
      <c r="K451" s="9" t="s">
        <v>2981</v>
      </c>
      <c r="L451" s="9" t="s">
        <v>2982</v>
      </c>
      <c r="M451" s="9" t="s">
        <v>424</v>
      </c>
      <c r="N451" s="9"/>
    </row>
    <row r="452" customFormat="false" ht="15" hidden="false" customHeight="true" outlineLevel="0" collapsed="false">
      <c r="A452" s="9" t="n">
        <v>448</v>
      </c>
      <c r="B452" s="9" t="s">
        <v>2983</v>
      </c>
      <c r="C452" s="9" t="s">
        <v>2984</v>
      </c>
      <c r="D452" s="9" t="s">
        <v>2892</v>
      </c>
      <c r="E452" s="9" t="s">
        <v>2985</v>
      </c>
      <c r="F452" s="9" t="s">
        <v>33</v>
      </c>
      <c r="G452" s="9" t="s">
        <v>2986</v>
      </c>
      <c r="H452" s="9" t="s">
        <v>2243</v>
      </c>
      <c r="I452" s="9" t="s">
        <v>421</v>
      </c>
      <c r="J452" s="9" t="s">
        <v>231</v>
      </c>
      <c r="K452" s="9" t="s">
        <v>2987</v>
      </c>
      <c r="L452" s="9" t="s">
        <v>2988</v>
      </c>
      <c r="M452" s="9" t="s">
        <v>424</v>
      </c>
      <c r="N452" s="9"/>
    </row>
    <row r="453" customFormat="false" ht="15" hidden="false" customHeight="true" outlineLevel="0" collapsed="false">
      <c r="A453" s="9" t="n">
        <v>449</v>
      </c>
      <c r="B453" s="9" t="s">
        <v>2989</v>
      </c>
      <c r="C453" s="9" t="s">
        <v>2990</v>
      </c>
      <c r="D453" s="9" t="s">
        <v>2892</v>
      </c>
      <c r="E453" s="9" t="s">
        <v>2991</v>
      </c>
      <c r="F453" s="9" t="s">
        <v>33</v>
      </c>
      <c r="G453" s="9" t="s">
        <v>2992</v>
      </c>
      <c r="H453" s="9" t="s">
        <v>2243</v>
      </c>
      <c r="I453" s="9" t="s">
        <v>421</v>
      </c>
      <c r="J453" s="9" t="s">
        <v>231</v>
      </c>
      <c r="K453" s="9" t="s">
        <v>2993</v>
      </c>
      <c r="L453" s="9" t="s">
        <v>2994</v>
      </c>
      <c r="M453" s="9" t="s">
        <v>424</v>
      </c>
      <c r="N453" s="9"/>
    </row>
    <row r="454" customFormat="false" ht="15" hidden="false" customHeight="true" outlineLevel="0" collapsed="false">
      <c r="A454" s="9" t="n">
        <v>450</v>
      </c>
      <c r="B454" s="9" t="s">
        <v>2995</v>
      </c>
      <c r="C454" s="9" t="s">
        <v>2996</v>
      </c>
      <c r="D454" s="9" t="s">
        <v>2892</v>
      </c>
      <c r="E454" s="9" t="s">
        <v>2997</v>
      </c>
      <c r="F454" s="9" t="s">
        <v>33</v>
      </c>
      <c r="G454" s="9" t="s">
        <v>2998</v>
      </c>
      <c r="H454" s="9" t="s">
        <v>2243</v>
      </c>
      <c r="I454" s="9" t="s">
        <v>421</v>
      </c>
      <c r="J454" s="9" t="s">
        <v>231</v>
      </c>
      <c r="K454" s="9" t="s">
        <v>2999</v>
      </c>
      <c r="L454" s="9" t="s">
        <v>3000</v>
      </c>
      <c r="M454" s="9" t="s">
        <v>424</v>
      </c>
      <c r="N454" s="9"/>
    </row>
    <row r="455" customFormat="false" ht="15" hidden="false" customHeight="true" outlineLevel="0" collapsed="false">
      <c r="A455" s="9" t="n">
        <v>451</v>
      </c>
      <c r="B455" s="9" t="s">
        <v>3001</v>
      </c>
      <c r="C455" s="9" t="s">
        <v>3002</v>
      </c>
      <c r="D455" s="9" t="s">
        <v>2892</v>
      </c>
      <c r="E455" s="9" t="s">
        <v>3003</v>
      </c>
      <c r="F455" s="9" t="s">
        <v>33</v>
      </c>
      <c r="G455" s="9" t="s">
        <v>3004</v>
      </c>
      <c r="H455" s="9" t="s">
        <v>2243</v>
      </c>
      <c r="I455" s="9" t="s">
        <v>421</v>
      </c>
      <c r="J455" s="9" t="s">
        <v>231</v>
      </c>
      <c r="K455" s="9" t="s">
        <v>3005</v>
      </c>
      <c r="L455" s="9" t="s">
        <v>3006</v>
      </c>
      <c r="M455" s="9" t="s">
        <v>424</v>
      </c>
      <c r="N455" s="9"/>
    </row>
    <row r="456" customFormat="false" ht="15" hidden="false" customHeight="true" outlineLevel="0" collapsed="false">
      <c r="A456" s="9" t="n">
        <v>452</v>
      </c>
      <c r="B456" s="9" t="s">
        <v>47</v>
      </c>
      <c r="C456" s="9" t="s">
        <v>3007</v>
      </c>
      <c r="D456" s="9" t="s">
        <v>2892</v>
      </c>
      <c r="E456" s="9" t="s">
        <v>3008</v>
      </c>
      <c r="F456" s="9" t="s">
        <v>33</v>
      </c>
      <c r="G456" s="9" t="s">
        <v>52</v>
      </c>
      <c r="H456" s="9" t="s">
        <v>2243</v>
      </c>
      <c r="I456" s="9" t="s">
        <v>421</v>
      </c>
      <c r="J456" s="9" t="s">
        <v>231</v>
      </c>
      <c r="K456" s="9" t="s">
        <v>3009</v>
      </c>
      <c r="L456" s="9" t="s">
        <v>3010</v>
      </c>
      <c r="M456" s="9" t="s">
        <v>424</v>
      </c>
      <c r="N456" s="9"/>
    </row>
    <row r="457" customFormat="false" ht="15" hidden="false" customHeight="true" outlineLevel="0" collapsed="false">
      <c r="A457" s="9" t="n">
        <v>453</v>
      </c>
      <c r="B457" s="9" t="s">
        <v>3011</v>
      </c>
      <c r="C457" s="9" t="s">
        <v>3012</v>
      </c>
      <c r="D457" s="9" t="s">
        <v>2892</v>
      </c>
      <c r="E457" s="9" t="s">
        <v>3013</v>
      </c>
      <c r="F457" s="9" t="s">
        <v>33</v>
      </c>
      <c r="G457" s="9" t="s">
        <v>1327</v>
      </c>
      <c r="H457" s="9" t="s">
        <v>2243</v>
      </c>
      <c r="I457" s="9" t="s">
        <v>421</v>
      </c>
      <c r="J457" s="9" t="s">
        <v>231</v>
      </c>
      <c r="K457" s="9" t="s">
        <v>3014</v>
      </c>
      <c r="L457" s="9" t="s">
        <v>3015</v>
      </c>
      <c r="M457" s="9" t="s">
        <v>424</v>
      </c>
      <c r="N457" s="9"/>
    </row>
    <row r="458" customFormat="false" ht="15" hidden="false" customHeight="true" outlineLevel="0" collapsed="false">
      <c r="A458" s="9" t="n">
        <v>454</v>
      </c>
      <c r="B458" s="9" t="s">
        <v>3016</v>
      </c>
      <c r="C458" s="9" t="s">
        <v>3017</v>
      </c>
      <c r="D458" s="9" t="s">
        <v>2876</v>
      </c>
      <c r="E458" s="9" t="s">
        <v>2997</v>
      </c>
      <c r="F458" s="9" t="s">
        <v>33</v>
      </c>
      <c r="G458" s="9" t="s">
        <v>3018</v>
      </c>
      <c r="H458" s="9" t="s">
        <v>2243</v>
      </c>
      <c r="I458" s="9" t="s">
        <v>421</v>
      </c>
      <c r="J458" s="9" t="s">
        <v>231</v>
      </c>
      <c r="K458" s="9" t="s">
        <v>3019</v>
      </c>
      <c r="L458" s="9" t="s">
        <v>3020</v>
      </c>
      <c r="M458" s="9" t="s">
        <v>424</v>
      </c>
      <c r="N458" s="9"/>
    </row>
    <row r="459" customFormat="false" ht="15" hidden="false" customHeight="true" outlineLevel="0" collapsed="false">
      <c r="A459" s="9" t="n">
        <v>455</v>
      </c>
      <c r="B459" s="9" t="s">
        <v>3021</v>
      </c>
      <c r="C459" s="9" t="s">
        <v>3022</v>
      </c>
      <c r="D459" s="9" t="s">
        <v>2866</v>
      </c>
      <c r="E459" s="9" t="s">
        <v>3023</v>
      </c>
      <c r="F459" s="9" t="s">
        <v>33</v>
      </c>
      <c r="G459" s="9" t="s">
        <v>3024</v>
      </c>
      <c r="H459" s="9" t="s">
        <v>2243</v>
      </c>
      <c r="I459" s="9" t="s">
        <v>421</v>
      </c>
      <c r="J459" s="9" t="s">
        <v>231</v>
      </c>
      <c r="K459" s="9" t="s">
        <v>3025</v>
      </c>
      <c r="L459" s="9" t="s">
        <v>3026</v>
      </c>
      <c r="M459" s="9" t="s">
        <v>424</v>
      </c>
      <c r="N459" s="9"/>
    </row>
    <row r="460" customFormat="false" ht="15" hidden="false" customHeight="true" outlineLevel="0" collapsed="false">
      <c r="A460" s="9" t="n">
        <v>456</v>
      </c>
      <c r="B460" s="9" t="s">
        <v>3027</v>
      </c>
      <c r="C460" s="9" t="s">
        <v>3028</v>
      </c>
      <c r="D460" s="9" t="s">
        <v>2892</v>
      </c>
      <c r="E460" s="9" t="s">
        <v>3029</v>
      </c>
      <c r="F460" s="9" t="s">
        <v>33</v>
      </c>
      <c r="G460" s="9" t="s">
        <v>3030</v>
      </c>
      <c r="H460" s="9" t="s">
        <v>2243</v>
      </c>
      <c r="I460" s="9" t="s">
        <v>421</v>
      </c>
      <c r="J460" s="9" t="s">
        <v>231</v>
      </c>
      <c r="K460" s="9" t="s">
        <v>3031</v>
      </c>
      <c r="L460" s="9" t="s">
        <v>3032</v>
      </c>
      <c r="M460" s="9" t="s">
        <v>424</v>
      </c>
      <c r="N460" s="9"/>
    </row>
    <row r="461" customFormat="false" ht="15" hidden="false" customHeight="true" outlineLevel="0" collapsed="false">
      <c r="A461" s="9" t="n">
        <v>457</v>
      </c>
      <c r="B461" s="9" t="s">
        <v>3033</v>
      </c>
      <c r="C461" s="9" t="s">
        <v>3034</v>
      </c>
      <c r="D461" s="9" t="s">
        <v>2866</v>
      </c>
      <c r="E461" s="9" t="s">
        <v>3035</v>
      </c>
      <c r="F461" s="9" t="s">
        <v>33</v>
      </c>
      <c r="G461" s="9" t="s">
        <v>3036</v>
      </c>
      <c r="H461" s="9" t="s">
        <v>2243</v>
      </c>
      <c r="I461" s="9" t="s">
        <v>421</v>
      </c>
      <c r="J461" s="9" t="s">
        <v>231</v>
      </c>
      <c r="K461" s="9" t="s">
        <v>3037</v>
      </c>
      <c r="L461" s="9" t="s">
        <v>3038</v>
      </c>
      <c r="M461" s="9" t="s">
        <v>424</v>
      </c>
      <c r="N461" s="9"/>
    </row>
    <row r="462" customFormat="false" ht="15" hidden="false" customHeight="true" outlineLevel="0" collapsed="false">
      <c r="A462" s="9" t="n">
        <v>458</v>
      </c>
      <c r="B462" s="9" t="s">
        <v>3039</v>
      </c>
      <c r="C462" s="9" t="s">
        <v>3040</v>
      </c>
      <c r="D462" s="9" t="s">
        <v>2866</v>
      </c>
      <c r="E462" s="9" t="s">
        <v>3041</v>
      </c>
      <c r="F462" s="9" t="s">
        <v>33</v>
      </c>
      <c r="G462" s="9" t="s">
        <v>3042</v>
      </c>
      <c r="H462" s="9" t="s">
        <v>2243</v>
      </c>
      <c r="I462" s="9" t="s">
        <v>421</v>
      </c>
      <c r="J462" s="9" t="s">
        <v>231</v>
      </c>
      <c r="K462" s="9" t="s">
        <v>3043</v>
      </c>
      <c r="L462" s="9" t="s">
        <v>3044</v>
      </c>
      <c r="M462" s="9" t="s">
        <v>424</v>
      </c>
      <c r="N462" s="9"/>
    </row>
    <row r="463" customFormat="false" ht="15" hidden="false" customHeight="true" outlineLevel="0" collapsed="false">
      <c r="A463" s="9" t="n">
        <v>459</v>
      </c>
      <c r="B463" s="9" t="s">
        <v>3045</v>
      </c>
      <c r="C463" s="9" t="s">
        <v>3046</v>
      </c>
      <c r="D463" s="9" t="s">
        <v>2866</v>
      </c>
      <c r="E463" s="9" t="s">
        <v>3047</v>
      </c>
      <c r="F463" s="9" t="s">
        <v>33</v>
      </c>
      <c r="G463" s="9" t="s">
        <v>3048</v>
      </c>
      <c r="H463" s="9" t="s">
        <v>2243</v>
      </c>
      <c r="I463" s="9" t="s">
        <v>421</v>
      </c>
      <c r="J463" s="9" t="s">
        <v>231</v>
      </c>
      <c r="K463" s="9" t="s">
        <v>3049</v>
      </c>
      <c r="L463" s="9" t="s">
        <v>3050</v>
      </c>
      <c r="M463" s="9" t="s">
        <v>424</v>
      </c>
      <c r="N463" s="9"/>
    </row>
    <row r="464" customFormat="false" ht="15" hidden="false" customHeight="true" outlineLevel="0" collapsed="false">
      <c r="A464" s="9" t="n">
        <v>460</v>
      </c>
      <c r="B464" s="9" t="s">
        <v>2179</v>
      </c>
      <c r="C464" s="9" t="s">
        <v>3051</v>
      </c>
      <c r="D464" s="9" t="s">
        <v>2892</v>
      </c>
      <c r="E464" s="9" t="s">
        <v>3052</v>
      </c>
      <c r="F464" s="9" t="s">
        <v>33</v>
      </c>
      <c r="G464" s="9" t="s">
        <v>3053</v>
      </c>
      <c r="H464" s="9" t="s">
        <v>2243</v>
      </c>
      <c r="I464" s="9" t="s">
        <v>421</v>
      </c>
      <c r="J464" s="9" t="s">
        <v>231</v>
      </c>
      <c r="K464" s="9" t="s">
        <v>3054</v>
      </c>
      <c r="L464" s="9" t="s">
        <v>3055</v>
      </c>
      <c r="M464" s="9" t="s">
        <v>424</v>
      </c>
      <c r="N464" s="9"/>
    </row>
    <row r="465" customFormat="false" ht="15" hidden="false" customHeight="true" outlineLevel="0" collapsed="false">
      <c r="A465" s="9" t="n">
        <v>461</v>
      </c>
      <c r="B465" s="9" t="s">
        <v>3056</v>
      </c>
      <c r="C465" s="9" t="s">
        <v>3057</v>
      </c>
      <c r="D465" s="9" t="s">
        <v>2876</v>
      </c>
      <c r="E465" s="9" t="s">
        <v>3058</v>
      </c>
      <c r="F465" s="9" t="s">
        <v>33</v>
      </c>
      <c r="G465" s="9" t="s">
        <v>3059</v>
      </c>
      <c r="H465" s="9" t="s">
        <v>2243</v>
      </c>
      <c r="I465" s="9" t="s">
        <v>421</v>
      </c>
      <c r="J465" s="9" t="s">
        <v>231</v>
      </c>
      <c r="K465" s="9" t="s">
        <v>3060</v>
      </c>
      <c r="L465" s="9" t="s">
        <v>3061</v>
      </c>
      <c r="M465" s="9" t="s">
        <v>522</v>
      </c>
      <c r="N465" s="9" t="s">
        <v>3062</v>
      </c>
    </row>
    <row r="466" customFormat="false" ht="15" hidden="false" customHeight="true" outlineLevel="0" collapsed="false">
      <c r="A466" s="9" t="n">
        <v>462</v>
      </c>
      <c r="B466" s="9" t="s">
        <v>3063</v>
      </c>
      <c r="C466" s="9" t="s">
        <v>157</v>
      </c>
      <c r="D466" s="9" t="s">
        <v>2904</v>
      </c>
      <c r="E466" s="9" t="s">
        <v>2867</v>
      </c>
      <c r="F466" s="9" t="s">
        <v>33</v>
      </c>
      <c r="G466" s="9" t="s">
        <v>3064</v>
      </c>
      <c r="H466" s="9" t="s">
        <v>2243</v>
      </c>
      <c r="I466" s="9" t="s">
        <v>421</v>
      </c>
      <c r="J466" s="9" t="s">
        <v>231</v>
      </c>
      <c r="K466" s="9" t="s">
        <v>3065</v>
      </c>
      <c r="L466" s="9" t="s">
        <v>3066</v>
      </c>
      <c r="M466" s="9" t="s">
        <v>424</v>
      </c>
      <c r="N466" s="9"/>
    </row>
    <row r="467" customFormat="false" ht="15" hidden="false" customHeight="true" outlineLevel="0" collapsed="false">
      <c r="A467" s="9" t="n">
        <v>463</v>
      </c>
      <c r="B467" s="9" t="s">
        <v>3067</v>
      </c>
      <c r="C467" s="9" t="s">
        <v>3068</v>
      </c>
      <c r="D467" s="9" t="s">
        <v>2876</v>
      </c>
      <c r="E467" s="9" t="s">
        <v>2840</v>
      </c>
      <c r="F467" s="9" t="s">
        <v>33</v>
      </c>
      <c r="G467" s="9" t="s">
        <v>3069</v>
      </c>
      <c r="H467" s="9" t="s">
        <v>2243</v>
      </c>
      <c r="I467" s="9" t="s">
        <v>421</v>
      </c>
      <c r="J467" s="9" t="s">
        <v>231</v>
      </c>
      <c r="K467" s="9" t="s">
        <v>3070</v>
      </c>
      <c r="L467" s="9" t="s">
        <v>3071</v>
      </c>
      <c r="M467" s="9" t="s">
        <v>424</v>
      </c>
      <c r="N467" s="9"/>
    </row>
    <row r="468" customFormat="false" ht="15" hidden="false" customHeight="true" outlineLevel="0" collapsed="false">
      <c r="A468" s="9" t="n">
        <v>464</v>
      </c>
      <c r="B468" s="9" t="s">
        <v>1580</v>
      </c>
      <c r="C468" s="9" t="s">
        <v>1581</v>
      </c>
      <c r="D468" s="9" t="s">
        <v>2876</v>
      </c>
      <c r="E468" s="9" t="s">
        <v>3072</v>
      </c>
      <c r="F468" s="9" t="s">
        <v>33</v>
      </c>
      <c r="G468" s="9" t="s">
        <v>1582</v>
      </c>
      <c r="H468" s="9" t="s">
        <v>2243</v>
      </c>
      <c r="I468" s="9" t="s">
        <v>421</v>
      </c>
      <c r="J468" s="9" t="s">
        <v>231</v>
      </c>
      <c r="K468" s="9" t="s">
        <v>3073</v>
      </c>
      <c r="L468" s="9" t="s">
        <v>3074</v>
      </c>
      <c r="M468" s="9" t="s">
        <v>522</v>
      </c>
      <c r="N468" s="9" t="s">
        <v>1586</v>
      </c>
    </row>
    <row r="469" customFormat="false" ht="15" hidden="false" customHeight="true" outlineLevel="0" collapsed="false">
      <c r="A469" s="9" t="n">
        <v>465</v>
      </c>
      <c r="B469" s="9" t="s">
        <v>3075</v>
      </c>
      <c r="C469" s="9" t="s">
        <v>3076</v>
      </c>
      <c r="D469" s="9" t="s">
        <v>2892</v>
      </c>
      <c r="E469" s="9" t="s">
        <v>3077</v>
      </c>
      <c r="F469" s="9" t="s">
        <v>33</v>
      </c>
      <c r="G469" s="9" t="s">
        <v>3078</v>
      </c>
      <c r="H469" s="9" t="s">
        <v>2243</v>
      </c>
      <c r="I469" s="9" t="s">
        <v>421</v>
      </c>
      <c r="J469" s="9" t="s">
        <v>231</v>
      </c>
      <c r="K469" s="9" t="s">
        <v>3079</v>
      </c>
      <c r="L469" s="9" t="s">
        <v>3080</v>
      </c>
      <c r="M469" s="9" t="s">
        <v>424</v>
      </c>
      <c r="N469" s="9"/>
    </row>
    <row r="470" customFormat="false" ht="15" hidden="false" customHeight="true" outlineLevel="0" collapsed="false">
      <c r="A470" s="9" t="n">
        <v>466</v>
      </c>
      <c r="B470" s="9" t="s">
        <v>3081</v>
      </c>
      <c r="C470" s="9" t="s">
        <v>3082</v>
      </c>
      <c r="D470" s="9" t="s">
        <v>2876</v>
      </c>
      <c r="E470" s="9" t="s">
        <v>3083</v>
      </c>
      <c r="F470" s="9" t="s">
        <v>33</v>
      </c>
      <c r="G470" s="9" t="s">
        <v>3084</v>
      </c>
      <c r="H470" s="9" t="s">
        <v>2243</v>
      </c>
      <c r="I470" s="9" t="s">
        <v>421</v>
      </c>
      <c r="J470" s="9" t="s">
        <v>231</v>
      </c>
      <c r="K470" s="9" t="s">
        <v>3085</v>
      </c>
      <c r="L470" s="9" t="s">
        <v>3086</v>
      </c>
      <c r="M470" s="9" t="s">
        <v>424</v>
      </c>
      <c r="N470" s="9" t="s">
        <v>2935</v>
      </c>
    </row>
    <row r="471" customFormat="false" ht="15" hidden="false" customHeight="true" outlineLevel="0" collapsed="false">
      <c r="A471" s="9" t="n">
        <v>467</v>
      </c>
      <c r="B471" s="9" t="s">
        <v>3087</v>
      </c>
      <c r="C471" s="9" t="s">
        <v>3088</v>
      </c>
      <c r="D471" s="9" t="s">
        <v>2892</v>
      </c>
      <c r="E471" s="9" t="s">
        <v>3089</v>
      </c>
      <c r="F471" s="9" t="s">
        <v>33</v>
      </c>
      <c r="G471" s="9" t="s">
        <v>1490</v>
      </c>
      <c r="H471" s="9" t="s">
        <v>2243</v>
      </c>
      <c r="I471" s="9" t="s">
        <v>421</v>
      </c>
      <c r="J471" s="9" t="s">
        <v>231</v>
      </c>
      <c r="K471" s="9" t="s">
        <v>3090</v>
      </c>
      <c r="L471" s="9" t="s">
        <v>3091</v>
      </c>
      <c r="M471" s="9" t="s">
        <v>424</v>
      </c>
      <c r="N471" s="9" t="s">
        <v>3092</v>
      </c>
    </row>
    <row r="472" customFormat="false" ht="15" hidden="false" customHeight="true" outlineLevel="0" collapsed="false">
      <c r="A472" s="9" t="n">
        <v>468</v>
      </c>
      <c r="B472" s="9" t="s">
        <v>3093</v>
      </c>
      <c r="C472" s="9" t="s">
        <v>3094</v>
      </c>
      <c r="D472" s="9" t="s">
        <v>2866</v>
      </c>
      <c r="E472" s="9" t="s">
        <v>3095</v>
      </c>
      <c r="F472" s="9" t="s">
        <v>33</v>
      </c>
      <c r="G472" s="9" t="s">
        <v>3096</v>
      </c>
      <c r="H472" s="9" t="s">
        <v>2243</v>
      </c>
      <c r="I472" s="9" t="s">
        <v>421</v>
      </c>
      <c r="J472" s="9" t="s">
        <v>231</v>
      </c>
      <c r="K472" s="9" t="s">
        <v>3097</v>
      </c>
      <c r="L472" s="9" t="s">
        <v>3098</v>
      </c>
      <c r="M472" s="9" t="s">
        <v>424</v>
      </c>
      <c r="N472" s="9" t="s">
        <v>3099</v>
      </c>
    </row>
    <row r="473" customFormat="false" ht="15" hidden="false" customHeight="true" outlineLevel="0" collapsed="false">
      <c r="A473" s="9" t="n">
        <v>469</v>
      </c>
      <c r="B473" s="9" t="s">
        <v>3100</v>
      </c>
      <c r="C473" s="9" t="s">
        <v>157</v>
      </c>
      <c r="D473" s="9" t="s">
        <v>2866</v>
      </c>
      <c r="E473" s="9" t="s">
        <v>3101</v>
      </c>
      <c r="F473" s="9" t="s">
        <v>33</v>
      </c>
      <c r="G473" s="9" t="s">
        <v>3102</v>
      </c>
      <c r="H473" s="9" t="s">
        <v>2243</v>
      </c>
      <c r="I473" s="9" t="s">
        <v>421</v>
      </c>
      <c r="J473" s="9" t="s">
        <v>231</v>
      </c>
      <c r="K473" s="9" t="s">
        <v>3103</v>
      </c>
      <c r="L473" s="9" t="s">
        <v>3104</v>
      </c>
      <c r="M473" s="9" t="s">
        <v>424</v>
      </c>
      <c r="N473" s="9" t="s">
        <v>3099</v>
      </c>
    </row>
    <row r="474" customFormat="false" ht="15" hidden="false" customHeight="true" outlineLevel="0" collapsed="false">
      <c r="A474" s="9" t="n">
        <v>470</v>
      </c>
      <c r="B474" s="9" t="s">
        <v>3105</v>
      </c>
      <c r="C474" s="9" t="s">
        <v>157</v>
      </c>
      <c r="D474" s="9" t="s">
        <v>2892</v>
      </c>
      <c r="E474" s="9" t="s">
        <v>3106</v>
      </c>
      <c r="F474" s="9" t="s">
        <v>33</v>
      </c>
      <c r="G474" s="9" t="s">
        <v>3107</v>
      </c>
      <c r="H474" s="9" t="s">
        <v>2243</v>
      </c>
      <c r="I474" s="9" t="s">
        <v>421</v>
      </c>
      <c r="J474" s="9" t="s">
        <v>231</v>
      </c>
      <c r="K474" s="9" t="s">
        <v>3108</v>
      </c>
      <c r="L474" s="9" t="s">
        <v>3109</v>
      </c>
      <c r="M474" s="9" t="s">
        <v>424</v>
      </c>
      <c r="N474" s="9" t="s">
        <v>3099</v>
      </c>
    </row>
    <row r="475" customFormat="false" ht="15" hidden="false" customHeight="true" outlineLevel="0" collapsed="false">
      <c r="A475" s="9" t="n">
        <v>471</v>
      </c>
      <c r="B475" s="9" t="s">
        <v>1974</v>
      </c>
      <c r="C475" s="9" t="s">
        <v>3110</v>
      </c>
      <c r="D475" s="9" t="s">
        <v>2892</v>
      </c>
      <c r="E475" s="9" t="s">
        <v>3111</v>
      </c>
      <c r="F475" s="9" t="s">
        <v>33</v>
      </c>
      <c r="G475" s="9" t="s">
        <v>1976</v>
      </c>
      <c r="H475" s="9" t="s">
        <v>2243</v>
      </c>
      <c r="I475" s="9" t="s">
        <v>421</v>
      </c>
      <c r="J475" s="9" t="s">
        <v>231</v>
      </c>
      <c r="K475" s="9" t="s">
        <v>3112</v>
      </c>
      <c r="L475" s="9" t="s">
        <v>3113</v>
      </c>
      <c r="M475" s="9" t="s">
        <v>424</v>
      </c>
      <c r="N475" s="9"/>
    </row>
    <row r="476" customFormat="false" ht="15" hidden="false" customHeight="true" outlineLevel="0" collapsed="false">
      <c r="A476" s="9" t="n">
        <v>472</v>
      </c>
      <c r="B476" s="9" t="s">
        <v>3114</v>
      </c>
      <c r="C476" s="9" t="s">
        <v>3115</v>
      </c>
      <c r="D476" s="9" t="s">
        <v>2876</v>
      </c>
      <c r="E476" s="9" t="s">
        <v>3116</v>
      </c>
      <c r="F476" s="9" t="s">
        <v>33</v>
      </c>
      <c r="G476" s="9" t="s">
        <v>3117</v>
      </c>
      <c r="H476" s="9" t="s">
        <v>2243</v>
      </c>
      <c r="I476" s="9" t="s">
        <v>421</v>
      </c>
      <c r="J476" s="9" t="s">
        <v>231</v>
      </c>
      <c r="K476" s="9" t="s">
        <v>3118</v>
      </c>
      <c r="L476" s="9" t="s">
        <v>3119</v>
      </c>
      <c r="M476" s="9" t="s">
        <v>424</v>
      </c>
      <c r="N476" s="9" t="s">
        <v>3120</v>
      </c>
    </row>
    <row r="477" customFormat="false" ht="15" hidden="false" customHeight="true" outlineLevel="0" collapsed="false">
      <c r="A477" s="9" t="n">
        <v>473</v>
      </c>
      <c r="B477" s="9" t="s">
        <v>3121</v>
      </c>
      <c r="C477" s="9" t="s">
        <v>3122</v>
      </c>
      <c r="D477" s="9" t="s">
        <v>2876</v>
      </c>
      <c r="E477" s="9" t="s">
        <v>3123</v>
      </c>
      <c r="F477" s="9" t="s">
        <v>33</v>
      </c>
      <c r="G477" s="9" t="s">
        <v>3124</v>
      </c>
      <c r="H477" s="9" t="s">
        <v>2243</v>
      </c>
      <c r="I477" s="9" t="s">
        <v>421</v>
      </c>
      <c r="J477" s="9" t="s">
        <v>231</v>
      </c>
      <c r="K477" s="9" t="s">
        <v>3125</v>
      </c>
      <c r="L477" s="9" t="s">
        <v>3126</v>
      </c>
      <c r="M477" s="9" t="s">
        <v>424</v>
      </c>
      <c r="N477" s="9" t="s">
        <v>3120</v>
      </c>
    </row>
    <row r="478" customFormat="false" ht="15" hidden="false" customHeight="true" outlineLevel="0" collapsed="false">
      <c r="A478" s="9" t="n">
        <v>474</v>
      </c>
      <c r="B478" s="9" t="s">
        <v>3127</v>
      </c>
      <c r="C478" s="9" t="s">
        <v>3128</v>
      </c>
      <c r="D478" s="9" t="s">
        <v>2876</v>
      </c>
      <c r="E478" s="9" t="s">
        <v>3129</v>
      </c>
      <c r="F478" s="9" t="s">
        <v>33</v>
      </c>
      <c r="G478" s="9" t="s">
        <v>3130</v>
      </c>
      <c r="H478" s="9" t="s">
        <v>2243</v>
      </c>
      <c r="I478" s="9" t="s">
        <v>421</v>
      </c>
      <c r="J478" s="9" t="s">
        <v>231</v>
      </c>
      <c r="K478" s="9" t="s">
        <v>3131</v>
      </c>
      <c r="L478" s="9" t="s">
        <v>3132</v>
      </c>
      <c r="M478" s="9" t="s">
        <v>424</v>
      </c>
      <c r="N478" s="9" t="s">
        <v>3120</v>
      </c>
    </row>
    <row r="479" customFormat="false" ht="15" hidden="false" customHeight="true" outlineLevel="0" collapsed="false">
      <c r="A479" s="9" t="n">
        <v>475</v>
      </c>
      <c r="B479" s="9" t="s">
        <v>1318</v>
      </c>
      <c r="C479" s="9" t="s">
        <v>1319</v>
      </c>
      <c r="D479" s="9" t="s">
        <v>2892</v>
      </c>
      <c r="E479" s="9" t="s">
        <v>3133</v>
      </c>
      <c r="F479" s="9" t="s">
        <v>33</v>
      </c>
      <c r="G479" s="9" t="s">
        <v>1320</v>
      </c>
      <c r="H479" s="9" t="s">
        <v>2243</v>
      </c>
      <c r="I479" s="9" t="s">
        <v>421</v>
      </c>
      <c r="J479" s="9" t="s">
        <v>231</v>
      </c>
      <c r="K479" s="9" t="s">
        <v>3134</v>
      </c>
      <c r="L479" s="9" t="s">
        <v>3135</v>
      </c>
      <c r="M479" s="9" t="s">
        <v>424</v>
      </c>
      <c r="N479" s="9"/>
    </row>
    <row r="480" customFormat="false" ht="15" hidden="false" customHeight="true" outlineLevel="0" collapsed="false">
      <c r="A480" s="9" t="n">
        <v>476</v>
      </c>
      <c r="B480" s="9" t="s">
        <v>3136</v>
      </c>
      <c r="C480" s="9" t="s">
        <v>3137</v>
      </c>
      <c r="D480" s="9" t="s">
        <v>2876</v>
      </c>
      <c r="E480" s="9" t="s">
        <v>2997</v>
      </c>
      <c r="F480" s="9" t="s">
        <v>33</v>
      </c>
      <c r="G480" s="9" t="s">
        <v>3138</v>
      </c>
      <c r="H480" s="9" t="s">
        <v>2243</v>
      </c>
      <c r="I480" s="9" t="s">
        <v>421</v>
      </c>
      <c r="J480" s="9" t="s">
        <v>231</v>
      </c>
      <c r="K480" s="9" t="s">
        <v>3139</v>
      </c>
      <c r="L480" s="9" t="s">
        <v>3140</v>
      </c>
      <c r="M480" s="9" t="s">
        <v>424</v>
      </c>
      <c r="N480" s="9"/>
    </row>
    <row r="481" customFormat="false" ht="15" hidden="false" customHeight="true" outlineLevel="0" collapsed="false">
      <c r="A481" s="9" t="n">
        <v>477</v>
      </c>
      <c r="B481" s="9" t="s">
        <v>3141</v>
      </c>
      <c r="C481" s="9" t="s">
        <v>3142</v>
      </c>
      <c r="D481" s="9" t="s">
        <v>2876</v>
      </c>
      <c r="E481" s="9" t="s">
        <v>3143</v>
      </c>
      <c r="F481" s="9" t="s">
        <v>33</v>
      </c>
      <c r="G481" s="9" t="s">
        <v>3144</v>
      </c>
      <c r="H481" s="9" t="s">
        <v>2243</v>
      </c>
      <c r="I481" s="9" t="s">
        <v>421</v>
      </c>
      <c r="J481" s="9" t="s">
        <v>231</v>
      </c>
      <c r="K481" s="9" t="s">
        <v>3145</v>
      </c>
      <c r="L481" s="9" t="s">
        <v>3146</v>
      </c>
      <c r="M481" s="9" t="s">
        <v>424</v>
      </c>
      <c r="N481" s="9" t="s">
        <v>3147</v>
      </c>
    </row>
    <row r="482" customFormat="false" ht="15" hidden="false" customHeight="true" outlineLevel="0" collapsed="false">
      <c r="A482" s="9" t="n">
        <v>478</v>
      </c>
      <c r="B482" s="9" t="s">
        <v>3148</v>
      </c>
      <c r="C482" s="9" t="s">
        <v>3149</v>
      </c>
      <c r="D482" s="9" t="s">
        <v>2892</v>
      </c>
      <c r="E482" s="9" t="s">
        <v>3150</v>
      </c>
      <c r="F482" s="9" t="s">
        <v>33</v>
      </c>
      <c r="G482" s="9" t="s">
        <v>3151</v>
      </c>
      <c r="H482" s="9" t="s">
        <v>2243</v>
      </c>
      <c r="I482" s="9" t="s">
        <v>421</v>
      </c>
      <c r="J482" s="9" t="s">
        <v>231</v>
      </c>
      <c r="K482" s="9" t="s">
        <v>3152</v>
      </c>
      <c r="L482" s="9" t="s">
        <v>3153</v>
      </c>
      <c r="M482" s="9" t="s">
        <v>424</v>
      </c>
      <c r="N482" s="9"/>
    </row>
    <row r="483" customFormat="false" ht="15" hidden="false" customHeight="true" outlineLevel="0" collapsed="false">
      <c r="A483" s="9" t="n">
        <v>479</v>
      </c>
      <c r="B483" s="9" t="s">
        <v>3154</v>
      </c>
      <c r="C483" s="9" t="s">
        <v>3155</v>
      </c>
      <c r="D483" s="9" t="s">
        <v>2904</v>
      </c>
      <c r="E483" s="9" t="s">
        <v>3156</v>
      </c>
      <c r="F483" s="9" t="s">
        <v>33</v>
      </c>
      <c r="G483" s="9" t="s">
        <v>3157</v>
      </c>
      <c r="H483" s="9" t="s">
        <v>2243</v>
      </c>
      <c r="I483" s="9" t="s">
        <v>421</v>
      </c>
      <c r="J483" s="9" t="s">
        <v>231</v>
      </c>
      <c r="K483" s="9" t="s">
        <v>3158</v>
      </c>
      <c r="L483" s="9" t="s">
        <v>3159</v>
      </c>
      <c r="M483" s="9" t="s">
        <v>368</v>
      </c>
      <c r="N483" s="9" t="s">
        <v>3160</v>
      </c>
    </row>
    <row r="484" customFormat="false" ht="15" hidden="false" customHeight="true" outlineLevel="0" collapsed="false">
      <c r="A484" s="9" t="n">
        <v>480</v>
      </c>
      <c r="B484" s="9" t="s">
        <v>3161</v>
      </c>
      <c r="C484" s="9" t="s">
        <v>3162</v>
      </c>
      <c r="D484" s="9" t="s">
        <v>2820</v>
      </c>
      <c r="E484" s="9" t="s">
        <v>3163</v>
      </c>
      <c r="F484" s="9" t="s">
        <v>33</v>
      </c>
      <c r="G484" s="9" t="s">
        <v>3164</v>
      </c>
      <c r="H484" s="9" t="s">
        <v>2243</v>
      </c>
      <c r="I484" s="9" t="s">
        <v>421</v>
      </c>
      <c r="J484" s="9" t="s">
        <v>231</v>
      </c>
      <c r="K484" s="9" t="s">
        <v>3165</v>
      </c>
      <c r="L484" s="9" t="s">
        <v>3166</v>
      </c>
      <c r="M484" s="9" t="s">
        <v>424</v>
      </c>
      <c r="N484" s="9"/>
    </row>
    <row r="485" customFormat="false" ht="15" hidden="false" customHeight="true" outlineLevel="0" collapsed="false">
      <c r="A485" s="9" t="n">
        <v>481</v>
      </c>
      <c r="B485" s="9" t="s">
        <v>3167</v>
      </c>
      <c r="C485" s="9" t="s">
        <v>3168</v>
      </c>
      <c r="D485" s="9" t="s">
        <v>2892</v>
      </c>
      <c r="E485" s="9" t="s">
        <v>3169</v>
      </c>
      <c r="F485" s="9" t="s">
        <v>33</v>
      </c>
      <c r="G485" s="9" t="s">
        <v>3170</v>
      </c>
      <c r="H485" s="9" t="s">
        <v>2243</v>
      </c>
      <c r="I485" s="9" t="s">
        <v>421</v>
      </c>
      <c r="J485" s="9" t="s">
        <v>231</v>
      </c>
      <c r="K485" s="9" t="s">
        <v>3171</v>
      </c>
      <c r="L485" s="9" t="s">
        <v>3172</v>
      </c>
      <c r="M485" s="9" t="s">
        <v>424</v>
      </c>
      <c r="N485" s="9"/>
    </row>
    <row r="486" customFormat="false" ht="15" hidden="false" customHeight="true" outlineLevel="0" collapsed="false">
      <c r="A486" s="9" t="n">
        <v>482</v>
      </c>
      <c r="B486" s="9" t="s">
        <v>3173</v>
      </c>
      <c r="C486" s="9" t="s">
        <v>3174</v>
      </c>
      <c r="D486" s="9" t="s">
        <v>2892</v>
      </c>
      <c r="E486" s="9" t="s">
        <v>3175</v>
      </c>
      <c r="F486" s="9" t="s">
        <v>33</v>
      </c>
      <c r="G486" s="9" t="s">
        <v>3176</v>
      </c>
      <c r="H486" s="9" t="s">
        <v>2243</v>
      </c>
      <c r="I486" s="9" t="s">
        <v>421</v>
      </c>
      <c r="J486" s="9" t="s">
        <v>231</v>
      </c>
      <c r="K486" s="9" t="s">
        <v>3177</v>
      </c>
      <c r="L486" s="9" t="s">
        <v>3178</v>
      </c>
      <c r="M486" s="9" t="s">
        <v>424</v>
      </c>
      <c r="N486" s="9"/>
    </row>
    <row r="487" customFormat="false" ht="15" hidden="false" customHeight="true" outlineLevel="0" collapsed="false">
      <c r="A487" s="9" t="n">
        <v>483</v>
      </c>
      <c r="B487" s="9" t="s">
        <v>3179</v>
      </c>
      <c r="C487" s="9" t="s">
        <v>3180</v>
      </c>
      <c r="D487" s="9" t="s">
        <v>2876</v>
      </c>
      <c r="E487" s="9" t="s">
        <v>3181</v>
      </c>
      <c r="F487" s="9" t="s">
        <v>33</v>
      </c>
      <c r="G487" s="9" t="s">
        <v>3182</v>
      </c>
      <c r="H487" s="9" t="s">
        <v>2243</v>
      </c>
      <c r="I487" s="9" t="s">
        <v>421</v>
      </c>
      <c r="J487" s="9" t="s">
        <v>231</v>
      </c>
      <c r="K487" s="9" t="s">
        <v>3183</v>
      </c>
      <c r="L487" s="9" t="s">
        <v>3184</v>
      </c>
      <c r="M487" s="9" t="s">
        <v>424</v>
      </c>
      <c r="N487" s="9"/>
    </row>
    <row r="488" customFormat="false" ht="15" hidden="false" customHeight="true" outlineLevel="0" collapsed="false">
      <c r="A488" s="9" t="n">
        <v>484</v>
      </c>
      <c r="B488" s="9" t="s">
        <v>3185</v>
      </c>
      <c r="C488" s="9" t="s">
        <v>3186</v>
      </c>
      <c r="D488" s="9" t="s">
        <v>2892</v>
      </c>
      <c r="E488" s="9" t="s">
        <v>3083</v>
      </c>
      <c r="F488" s="9" t="s">
        <v>33</v>
      </c>
      <c r="G488" s="9" t="s">
        <v>3187</v>
      </c>
      <c r="H488" s="9" t="s">
        <v>2243</v>
      </c>
      <c r="I488" s="9" t="s">
        <v>421</v>
      </c>
      <c r="J488" s="9" t="s">
        <v>231</v>
      </c>
      <c r="K488" s="9" t="s">
        <v>3188</v>
      </c>
      <c r="L488" s="9" t="s">
        <v>3189</v>
      </c>
      <c r="M488" s="9" t="s">
        <v>424</v>
      </c>
      <c r="N488" s="9"/>
    </row>
    <row r="489" customFormat="false" ht="15" hidden="false" customHeight="true" outlineLevel="0" collapsed="false">
      <c r="A489" s="9" t="n">
        <v>485</v>
      </c>
      <c r="B489" s="9" t="s">
        <v>3190</v>
      </c>
      <c r="C489" s="9" t="s">
        <v>3191</v>
      </c>
      <c r="D489" s="9" t="s">
        <v>2892</v>
      </c>
      <c r="E489" s="9" t="s">
        <v>3192</v>
      </c>
      <c r="F489" s="9" t="s">
        <v>33</v>
      </c>
      <c r="G489" s="9" t="s">
        <v>3193</v>
      </c>
      <c r="H489" s="9" t="s">
        <v>2243</v>
      </c>
      <c r="I489" s="9" t="s">
        <v>421</v>
      </c>
      <c r="J489" s="9" t="s">
        <v>231</v>
      </c>
      <c r="K489" s="9" t="s">
        <v>3194</v>
      </c>
      <c r="L489" s="9" t="s">
        <v>3195</v>
      </c>
      <c r="M489" s="9" t="s">
        <v>424</v>
      </c>
      <c r="N489" s="9"/>
    </row>
    <row r="490" customFormat="false" ht="15" hidden="false" customHeight="true" outlineLevel="0" collapsed="false">
      <c r="A490" s="9" t="n">
        <v>486</v>
      </c>
      <c r="B490" s="9" t="s">
        <v>3196</v>
      </c>
      <c r="C490" s="9" t="s">
        <v>3197</v>
      </c>
      <c r="D490" s="9" t="s">
        <v>2892</v>
      </c>
      <c r="E490" s="9" t="s">
        <v>3198</v>
      </c>
      <c r="F490" s="9" t="s">
        <v>33</v>
      </c>
      <c r="G490" s="9" t="s">
        <v>3199</v>
      </c>
      <c r="H490" s="9" t="s">
        <v>2243</v>
      </c>
      <c r="I490" s="9" t="s">
        <v>421</v>
      </c>
      <c r="J490" s="9" t="s">
        <v>231</v>
      </c>
      <c r="K490" s="9" t="s">
        <v>3200</v>
      </c>
      <c r="L490" s="9" t="s">
        <v>3201</v>
      </c>
      <c r="M490" s="9" t="s">
        <v>424</v>
      </c>
      <c r="N490" s="9"/>
    </row>
    <row r="491" customFormat="false" ht="15" hidden="false" customHeight="true" outlineLevel="0" collapsed="false">
      <c r="A491" s="9" t="n">
        <v>487</v>
      </c>
      <c r="B491" s="9" t="s">
        <v>3202</v>
      </c>
      <c r="C491" s="9" t="s">
        <v>3203</v>
      </c>
      <c r="D491" s="9" t="s">
        <v>2892</v>
      </c>
      <c r="E491" s="9" t="s">
        <v>3204</v>
      </c>
      <c r="F491" s="9" t="s">
        <v>33</v>
      </c>
      <c r="G491" s="9" t="s">
        <v>3205</v>
      </c>
      <c r="H491" s="9" t="s">
        <v>2243</v>
      </c>
      <c r="I491" s="9" t="s">
        <v>421</v>
      </c>
      <c r="J491" s="9" t="s">
        <v>231</v>
      </c>
      <c r="K491" s="9" t="s">
        <v>3206</v>
      </c>
      <c r="L491" s="9" t="s">
        <v>3207</v>
      </c>
      <c r="M491" s="9" t="s">
        <v>424</v>
      </c>
      <c r="N491" s="9"/>
    </row>
    <row r="492" customFormat="false" ht="15" hidden="false" customHeight="true" outlineLevel="0" collapsed="false">
      <c r="A492" s="9" t="n">
        <v>488</v>
      </c>
      <c r="B492" s="9" t="s">
        <v>3208</v>
      </c>
      <c r="C492" s="9" t="s">
        <v>3209</v>
      </c>
      <c r="D492" s="9" t="s">
        <v>2892</v>
      </c>
      <c r="E492" s="9" t="s">
        <v>3210</v>
      </c>
      <c r="F492" s="9" t="s">
        <v>33</v>
      </c>
      <c r="G492" s="9" t="s">
        <v>3211</v>
      </c>
      <c r="H492" s="9" t="s">
        <v>2243</v>
      </c>
      <c r="I492" s="9" t="s">
        <v>421</v>
      </c>
      <c r="J492" s="9" t="s">
        <v>231</v>
      </c>
      <c r="K492" s="9" t="s">
        <v>3212</v>
      </c>
      <c r="L492" s="9" t="s">
        <v>3213</v>
      </c>
      <c r="M492" s="9" t="s">
        <v>424</v>
      </c>
      <c r="N492" s="9"/>
    </row>
    <row r="493" customFormat="false" ht="15" hidden="false" customHeight="true" outlineLevel="0" collapsed="false">
      <c r="A493" s="9" t="n">
        <v>489</v>
      </c>
      <c r="B493" s="9" t="s">
        <v>3214</v>
      </c>
      <c r="C493" s="9" t="s">
        <v>3215</v>
      </c>
      <c r="D493" s="9" t="s">
        <v>2892</v>
      </c>
      <c r="E493" s="9" t="s">
        <v>3216</v>
      </c>
      <c r="F493" s="9" t="s">
        <v>33</v>
      </c>
      <c r="G493" s="9" t="s">
        <v>3217</v>
      </c>
      <c r="H493" s="9" t="s">
        <v>2243</v>
      </c>
      <c r="I493" s="9" t="s">
        <v>421</v>
      </c>
      <c r="J493" s="9" t="s">
        <v>231</v>
      </c>
      <c r="K493" s="9" t="s">
        <v>3218</v>
      </c>
      <c r="L493" s="9" t="s">
        <v>3219</v>
      </c>
      <c r="M493" s="9" t="s">
        <v>424</v>
      </c>
      <c r="N493" s="9" t="s">
        <v>3220</v>
      </c>
    </row>
    <row r="494" customFormat="false" ht="15" hidden="false" customHeight="false" outlineLevel="0" collapsed="false">
      <c r="A494" s="10" t="n">
        <v>490</v>
      </c>
      <c r="B494" s="10" t="s">
        <v>3221</v>
      </c>
      <c r="C494" s="10" t="s">
        <v>3222</v>
      </c>
      <c r="D494" s="10" t="s">
        <v>2876</v>
      </c>
      <c r="E494" s="10" t="s">
        <v>2944</v>
      </c>
      <c r="F494" s="10" t="s">
        <v>33</v>
      </c>
      <c r="G494" s="10" t="s">
        <v>3223</v>
      </c>
      <c r="H494" s="10" t="s">
        <v>2243</v>
      </c>
      <c r="I494" s="10" t="s">
        <v>421</v>
      </c>
      <c r="J494" s="10" t="s">
        <v>231</v>
      </c>
      <c r="K494" s="10" t="s">
        <v>3224</v>
      </c>
      <c r="L494" s="10" t="s">
        <v>3225</v>
      </c>
      <c r="M494" s="10" t="s">
        <v>424</v>
      </c>
      <c r="N494" s="10" t="s">
        <v>2935</v>
      </c>
    </row>
    <row r="495" customFormat="false" ht="15" hidden="false" customHeight="false" outlineLevel="0" collapsed="false">
      <c r="A495" s="10" t="n">
        <v>491</v>
      </c>
      <c r="B495" s="10" t="s">
        <v>3226</v>
      </c>
      <c r="C495" s="10" t="s">
        <v>157</v>
      </c>
      <c r="D495" s="10" t="s">
        <v>2892</v>
      </c>
      <c r="E495" s="10" t="s">
        <v>3227</v>
      </c>
      <c r="F495" s="10" t="s">
        <v>33</v>
      </c>
      <c r="G495" s="10" t="s">
        <v>3228</v>
      </c>
      <c r="H495" s="10" t="s">
        <v>2243</v>
      </c>
      <c r="I495" s="10" t="s">
        <v>421</v>
      </c>
      <c r="J495" s="10" t="s">
        <v>231</v>
      </c>
      <c r="K495" s="10" t="s">
        <v>3229</v>
      </c>
      <c r="L495" s="10" t="s">
        <v>3230</v>
      </c>
      <c r="M495" s="10" t="s">
        <v>424</v>
      </c>
      <c r="N495" s="10" t="s">
        <v>2935</v>
      </c>
    </row>
    <row r="496" customFormat="false" ht="15" hidden="false" customHeight="false" outlineLevel="0" collapsed="false">
      <c r="A496" s="10" t="n">
        <v>492</v>
      </c>
      <c r="B496" s="10" t="s">
        <v>3231</v>
      </c>
      <c r="C496" s="10" t="s">
        <v>3232</v>
      </c>
      <c r="D496" s="10" t="s">
        <v>3233</v>
      </c>
      <c r="E496" s="10" t="s">
        <v>3234</v>
      </c>
      <c r="F496" s="10" t="s">
        <v>2230</v>
      </c>
      <c r="G496" s="10" t="s">
        <v>2254</v>
      </c>
      <c r="H496" s="10" t="s">
        <v>3235</v>
      </c>
      <c r="I496" s="10" t="s">
        <v>157</v>
      </c>
      <c r="J496" s="10" t="s">
        <v>231</v>
      </c>
      <c r="K496" s="10" t="s">
        <v>3236</v>
      </c>
      <c r="L496" s="10" t="s">
        <v>3237</v>
      </c>
      <c r="M496" s="10" t="s">
        <v>424</v>
      </c>
      <c r="N496" s="10" t="s">
        <v>3238</v>
      </c>
    </row>
    <row r="497" customFormat="false" ht="15" hidden="false" customHeight="false" outlineLevel="0" collapsed="false">
      <c r="A497" s="10" t="n">
        <v>493</v>
      </c>
      <c r="B497" s="10" t="s">
        <v>3239</v>
      </c>
      <c r="C497" s="10" t="s">
        <v>3240</v>
      </c>
      <c r="D497" s="10" t="s">
        <v>3241</v>
      </c>
      <c r="E497" s="10" t="s">
        <v>3242</v>
      </c>
      <c r="F497" s="10" t="s">
        <v>2230</v>
      </c>
      <c r="G497" s="10" t="s">
        <v>2254</v>
      </c>
      <c r="H497" s="10" t="s">
        <v>3235</v>
      </c>
      <c r="I497" s="10" t="s">
        <v>157</v>
      </c>
      <c r="J497" s="10" t="s">
        <v>231</v>
      </c>
      <c r="K497" s="10" t="s">
        <v>3243</v>
      </c>
      <c r="L497" s="10" t="s">
        <v>3244</v>
      </c>
      <c r="M497" s="10" t="s">
        <v>424</v>
      </c>
      <c r="N497" s="10" t="s">
        <v>3245</v>
      </c>
    </row>
    <row r="498" customFormat="false" ht="15" hidden="false" customHeight="false" outlineLevel="0" collapsed="false">
      <c r="A498" s="10" t="n">
        <v>494</v>
      </c>
      <c r="B498" s="10" t="s">
        <v>3246</v>
      </c>
      <c r="C498" s="10" t="s">
        <v>3247</v>
      </c>
      <c r="D498" s="10" t="s">
        <v>3248</v>
      </c>
      <c r="E498" s="10" t="s">
        <v>3249</v>
      </c>
      <c r="F498" s="10" t="s">
        <v>2230</v>
      </c>
      <c r="G498" s="10" t="s">
        <v>2254</v>
      </c>
      <c r="H498" s="10" t="s">
        <v>3235</v>
      </c>
      <c r="I498" s="10" t="s">
        <v>157</v>
      </c>
      <c r="J498" s="10" t="s">
        <v>231</v>
      </c>
      <c r="K498" s="10" t="s">
        <v>3250</v>
      </c>
      <c r="L498" s="10" t="s">
        <v>3251</v>
      </c>
      <c r="M498" s="10" t="s">
        <v>424</v>
      </c>
      <c r="N498" s="10" t="s">
        <v>3252</v>
      </c>
    </row>
    <row r="499" customFormat="false" ht="15" hidden="false" customHeight="false" outlineLevel="0" collapsed="false">
      <c r="A499" s="10" t="n">
        <v>495</v>
      </c>
      <c r="B499" s="10" t="s">
        <v>3253</v>
      </c>
      <c r="C499" s="10" t="s">
        <v>3254</v>
      </c>
      <c r="D499" s="10" t="s">
        <v>3255</v>
      </c>
      <c r="E499" s="10" t="s">
        <v>3256</v>
      </c>
      <c r="F499" s="10" t="s">
        <v>2230</v>
      </c>
      <c r="G499" s="10" t="s">
        <v>2254</v>
      </c>
      <c r="H499" s="10" t="s">
        <v>3235</v>
      </c>
      <c r="I499" s="10" t="s">
        <v>157</v>
      </c>
      <c r="J499" s="10" t="s">
        <v>231</v>
      </c>
      <c r="K499" s="10" t="s">
        <v>3257</v>
      </c>
      <c r="L499" s="10" t="s">
        <v>3258</v>
      </c>
      <c r="M499" s="10" t="s">
        <v>424</v>
      </c>
      <c r="N499" s="10" t="s">
        <v>3259</v>
      </c>
    </row>
    <row r="500" customFormat="false" ht="15" hidden="false" customHeight="false" outlineLevel="0" collapsed="false">
      <c r="A500" s="10" t="n">
        <v>496</v>
      </c>
      <c r="B500" s="10" t="s">
        <v>3260</v>
      </c>
      <c r="C500" s="10" t="s">
        <v>3261</v>
      </c>
      <c r="D500" s="10" t="s">
        <v>3262</v>
      </c>
      <c r="E500" s="10" t="s">
        <v>3263</v>
      </c>
      <c r="F500" s="10" t="s">
        <v>2230</v>
      </c>
      <c r="G500" s="10" t="s">
        <v>2254</v>
      </c>
      <c r="H500" s="10" t="s">
        <v>3235</v>
      </c>
      <c r="I500" s="10" t="s">
        <v>157</v>
      </c>
      <c r="J500" s="10" t="s">
        <v>231</v>
      </c>
      <c r="K500" s="10" t="s">
        <v>3264</v>
      </c>
      <c r="L500" s="10" t="s">
        <v>3265</v>
      </c>
      <c r="M500" s="10" t="s">
        <v>424</v>
      </c>
      <c r="N500" s="10" t="s">
        <v>3266</v>
      </c>
    </row>
    <row r="501" customFormat="false" ht="15" hidden="false" customHeight="false" outlineLevel="0" collapsed="false">
      <c r="A501" s="10" t="n">
        <v>497</v>
      </c>
      <c r="B501" s="10" t="s">
        <v>3267</v>
      </c>
      <c r="C501" s="10" t="s">
        <v>3268</v>
      </c>
      <c r="D501" s="10" t="s">
        <v>3269</v>
      </c>
      <c r="E501" s="10" t="s">
        <v>3270</v>
      </c>
      <c r="F501" s="10" t="s">
        <v>2230</v>
      </c>
      <c r="G501" s="10" t="s">
        <v>2254</v>
      </c>
      <c r="H501" s="10" t="s">
        <v>3235</v>
      </c>
      <c r="I501" s="10" t="s">
        <v>157</v>
      </c>
      <c r="J501" s="10" t="s">
        <v>231</v>
      </c>
      <c r="K501" s="10" t="s">
        <v>3271</v>
      </c>
      <c r="L501" s="10" t="s">
        <v>3272</v>
      </c>
      <c r="M501" s="10" t="s">
        <v>424</v>
      </c>
      <c r="N501" s="10" t="s">
        <v>3273</v>
      </c>
    </row>
    <row r="502" customFormat="false" ht="15" hidden="false" customHeight="false" outlineLevel="0" collapsed="false">
      <c r="A502" s="10" t="n">
        <v>498</v>
      </c>
      <c r="B502" s="10" t="s">
        <v>3274</v>
      </c>
      <c r="C502" s="10" t="s">
        <v>3275</v>
      </c>
      <c r="D502" s="10" t="s">
        <v>3276</v>
      </c>
      <c r="E502" s="10" t="s">
        <v>3277</v>
      </c>
      <c r="F502" s="10" t="s">
        <v>2230</v>
      </c>
      <c r="G502" s="10" t="s">
        <v>2254</v>
      </c>
      <c r="H502" s="10" t="s">
        <v>3278</v>
      </c>
      <c r="I502" s="10" t="s">
        <v>157</v>
      </c>
      <c r="J502" s="10" t="s">
        <v>231</v>
      </c>
      <c r="K502" s="10" t="s">
        <v>3279</v>
      </c>
      <c r="L502" s="10" t="s">
        <v>3280</v>
      </c>
      <c r="M502" s="10" t="s">
        <v>424</v>
      </c>
      <c r="N502" s="10" t="s">
        <v>3281</v>
      </c>
    </row>
    <row r="503" customFormat="false" ht="15" hidden="false" customHeight="false" outlineLevel="0" collapsed="false">
      <c r="A503" s="10" t="n">
        <v>499</v>
      </c>
      <c r="B503" s="10" t="s">
        <v>3282</v>
      </c>
      <c r="C503" s="10" t="s">
        <v>3283</v>
      </c>
      <c r="D503" s="10" t="s">
        <v>3284</v>
      </c>
      <c r="E503" s="10" t="s">
        <v>3263</v>
      </c>
      <c r="F503" s="10" t="s">
        <v>2230</v>
      </c>
      <c r="G503" s="10" t="s">
        <v>2254</v>
      </c>
      <c r="H503" s="10" t="s">
        <v>3235</v>
      </c>
      <c r="I503" s="10" t="s">
        <v>157</v>
      </c>
      <c r="J503" s="10" t="s">
        <v>231</v>
      </c>
      <c r="K503" s="10" t="s">
        <v>3285</v>
      </c>
      <c r="L503" s="10" t="s">
        <v>3286</v>
      </c>
      <c r="M503" s="10" t="s">
        <v>424</v>
      </c>
      <c r="N503" s="10" t="s">
        <v>3287</v>
      </c>
    </row>
    <row r="504" customFormat="false" ht="15" hidden="false" customHeight="false" outlineLevel="0" collapsed="false">
      <c r="A504" s="10" t="n">
        <v>500</v>
      </c>
      <c r="B504" s="10" t="s">
        <v>3288</v>
      </c>
      <c r="C504" s="10" t="s">
        <v>3289</v>
      </c>
      <c r="D504" s="10" t="s">
        <v>3290</v>
      </c>
      <c r="E504" s="10" t="s">
        <v>3263</v>
      </c>
      <c r="F504" s="10" t="s">
        <v>2230</v>
      </c>
      <c r="G504" s="10" t="s">
        <v>3291</v>
      </c>
      <c r="H504" s="10" t="s">
        <v>3292</v>
      </c>
      <c r="I504" s="10" t="s">
        <v>421</v>
      </c>
      <c r="J504" s="10" t="s">
        <v>231</v>
      </c>
      <c r="K504" s="10" t="s">
        <v>3293</v>
      </c>
      <c r="L504" s="10" t="s">
        <v>3294</v>
      </c>
      <c r="M504" s="10" t="s">
        <v>424</v>
      </c>
      <c r="N504" s="10"/>
    </row>
    <row r="505" customFormat="false" ht="15" hidden="false" customHeight="false" outlineLevel="0" collapsed="false">
      <c r="A505" s="10" t="n">
        <v>501</v>
      </c>
      <c r="B505" s="10" t="s">
        <v>3295</v>
      </c>
      <c r="C505" s="10" t="s">
        <v>40</v>
      </c>
      <c r="D505" s="10" t="s">
        <v>3296</v>
      </c>
      <c r="E505" s="10" t="s">
        <v>3297</v>
      </c>
      <c r="F505" s="10" t="s">
        <v>2230</v>
      </c>
      <c r="G505" s="10" t="s">
        <v>43</v>
      </c>
      <c r="H505" s="10" t="s">
        <v>3298</v>
      </c>
      <c r="I505" s="10" t="s">
        <v>421</v>
      </c>
      <c r="J505" s="10" t="s">
        <v>231</v>
      </c>
      <c r="K505" s="10" t="s">
        <v>3299</v>
      </c>
      <c r="L505" s="10" t="s">
        <v>3300</v>
      </c>
      <c r="M505" s="10" t="s">
        <v>424</v>
      </c>
      <c r="N505" s="10"/>
    </row>
    <row r="506" customFormat="false" ht="15" hidden="false" customHeight="false" outlineLevel="0" collapsed="false">
      <c r="A506" s="10" t="n">
        <v>502</v>
      </c>
      <c r="B506" s="10" t="s">
        <v>3301</v>
      </c>
      <c r="C506" s="10" t="s">
        <v>3302</v>
      </c>
      <c r="D506" s="10" t="s">
        <v>3303</v>
      </c>
      <c r="E506" s="10" t="s">
        <v>3304</v>
      </c>
      <c r="F506" s="10" t="s">
        <v>51</v>
      </c>
      <c r="G506" s="10" t="s">
        <v>2254</v>
      </c>
      <c r="H506" s="10" t="s">
        <v>3235</v>
      </c>
      <c r="I506" s="10" t="s">
        <v>157</v>
      </c>
      <c r="J506" s="10" t="s">
        <v>231</v>
      </c>
      <c r="K506" s="10" t="s">
        <v>3305</v>
      </c>
      <c r="L506" s="10" t="s">
        <v>3306</v>
      </c>
      <c r="M506" s="10" t="s">
        <v>424</v>
      </c>
      <c r="N506" s="10" t="s">
        <v>3307</v>
      </c>
    </row>
    <row r="507" customFormat="false" ht="15" hidden="false" customHeight="false" outlineLevel="0" collapsed="false">
      <c r="A507" s="10" t="n">
        <v>503</v>
      </c>
      <c r="B507" s="10" t="s">
        <v>3308</v>
      </c>
      <c r="C507" s="10" t="s">
        <v>3309</v>
      </c>
      <c r="D507" s="10" t="s">
        <v>3310</v>
      </c>
      <c r="E507" s="10" t="s">
        <v>3311</v>
      </c>
      <c r="F507" s="10" t="s">
        <v>2230</v>
      </c>
      <c r="G507" s="10" t="s">
        <v>3312</v>
      </c>
      <c r="H507" s="10" t="s">
        <v>3313</v>
      </c>
      <c r="I507" s="10" t="s">
        <v>421</v>
      </c>
      <c r="J507" s="10" t="s">
        <v>231</v>
      </c>
      <c r="K507" s="10" t="s">
        <v>3314</v>
      </c>
      <c r="L507" s="10" t="s">
        <v>3315</v>
      </c>
      <c r="M507" s="10" t="s">
        <v>424</v>
      </c>
      <c r="N507" s="10"/>
    </row>
    <row r="508" customFormat="false" ht="15" hidden="false" customHeight="false" outlineLevel="0" collapsed="false">
      <c r="A508" s="10" t="n">
        <v>504</v>
      </c>
      <c r="B508" s="10" t="s">
        <v>3316</v>
      </c>
      <c r="C508" s="10" t="s">
        <v>3317</v>
      </c>
      <c r="D508" s="10" t="s">
        <v>3318</v>
      </c>
      <c r="E508" s="10" t="s">
        <v>3319</v>
      </c>
      <c r="F508" s="10" t="s">
        <v>2230</v>
      </c>
      <c r="G508" s="10" t="s">
        <v>3320</v>
      </c>
      <c r="H508" s="10" t="s">
        <v>3321</v>
      </c>
      <c r="I508" s="10" t="s">
        <v>421</v>
      </c>
      <c r="J508" s="10" t="s">
        <v>231</v>
      </c>
      <c r="K508" s="10" t="s">
        <v>3322</v>
      </c>
      <c r="L508" s="10" t="s">
        <v>3323</v>
      </c>
      <c r="M508" s="10" t="s">
        <v>424</v>
      </c>
      <c r="N508" s="10"/>
    </row>
    <row r="509" customFormat="false" ht="15" hidden="false" customHeight="false" outlineLevel="0" collapsed="false">
      <c r="A509" s="10" t="n">
        <v>505</v>
      </c>
      <c r="B509" s="10" t="s">
        <v>3324</v>
      </c>
      <c r="C509" s="10" t="s">
        <v>3325</v>
      </c>
      <c r="D509" s="10" t="s">
        <v>3326</v>
      </c>
      <c r="E509" s="10" t="s">
        <v>3327</v>
      </c>
      <c r="F509" s="10" t="s">
        <v>2230</v>
      </c>
      <c r="G509" s="10" t="s">
        <v>3328</v>
      </c>
      <c r="H509" s="10" t="s">
        <v>3329</v>
      </c>
      <c r="I509" s="10" t="s">
        <v>421</v>
      </c>
      <c r="J509" s="10" t="s">
        <v>231</v>
      </c>
      <c r="K509" s="10" t="s">
        <v>3330</v>
      </c>
      <c r="L509" s="10" t="s">
        <v>3331</v>
      </c>
      <c r="M509" s="10" t="s">
        <v>424</v>
      </c>
      <c r="N509" s="10"/>
    </row>
    <row r="510" customFormat="false" ht="15" hidden="false" customHeight="false" outlineLevel="0" collapsed="false">
      <c r="A510" s="10" t="n">
        <v>506</v>
      </c>
      <c r="B510" s="10" t="s">
        <v>3332</v>
      </c>
      <c r="C510" s="10" t="s">
        <v>3333</v>
      </c>
      <c r="D510" s="10" t="s">
        <v>3334</v>
      </c>
      <c r="E510" s="10" t="s">
        <v>3335</v>
      </c>
      <c r="F510" s="10" t="s">
        <v>2230</v>
      </c>
      <c r="G510" s="10" t="s">
        <v>3336</v>
      </c>
      <c r="H510" s="10" t="s">
        <v>3337</v>
      </c>
      <c r="I510" s="10" t="s">
        <v>421</v>
      </c>
      <c r="J510" s="10" t="s">
        <v>231</v>
      </c>
      <c r="K510" s="10" t="s">
        <v>3338</v>
      </c>
      <c r="L510" s="10" t="s">
        <v>3339</v>
      </c>
      <c r="M510" s="10" t="s">
        <v>424</v>
      </c>
      <c r="N510" s="10"/>
    </row>
    <row r="511" customFormat="false" ht="15" hidden="false" customHeight="false" outlineLevel="0" collapsed="false">
      <c r="A511" s="10" t="n">
        <v>507</v>
      </c>
      <c r="B511" s="10" t="s">
        <v>3340</v>
      </c>
      <c r="C511" s="10" t="s">
        <v>3341</v>
      </c>
      <c r="D511" s="10" t="s">
        <v>3318</v>
      </c>
      <c r="E511" s="10" t="s">
        <v>3319</v>
      </c>
      <c r="F511" s="10" t="s">
        <v>51</v>
      </c>
      <c r="G511" s="10" t="s">
        <v>2254</v>
      </c>
      <c r="H511" s="10" t="s">
        <v>3235</v>
      </c>
      <c r="I511" s="10" t="s">
        <v>157</v>
      </c>
      <c r="J511" s="10" t="s">
        <v>231</v>
      </c>
      <c r="K511" s="10" t="s">
        <v>3342</v>
      </c>
      <c r="L511" s="10" t="s">
        <v>3343</v>
      </c>
      <c r="M511" s="10" t="s">
        <v>424</v>
      </c>
      <c r="N511" s="10" t="s">
        <v>3344</v>
      </c>
    </row>
    <row r="512" customFormat="false" ht="15" hidden="false" customHeight="false" outlineLevel="0" collapsed="false">
      <c r="A512" s="10" t="n">
        <v>508</v>
      </c>
      <c r="B512" s="10" t="s">
        <v>3345</v>
      </c>
      <c r="C512" s="10" t="s">
        <v>3346</v>
      </c>
      <c r="D512" s="10" t="s">
        <v>3347</v>
      </c>
      <c r="E512" s="10" t="s">
        <v>3348</v>
      </c>
      <c r="F512" s="10" t="s">
        <v>2230</v>
      </c>
      <c r="G512" s="10" t="s">
        <v>2254</v>
      </c>
      <c r="H512" s="10" t="s">
        <v>3235</v>
      </c>
      <c r="I512" s="10" t="s">
        <v>157</v>
      </c>
      <c r="J512" s="10" t="s">
        <v>231</v>
      </c>
      <c r="K512" s="10" t="s">
        <v>3349</v>
      </c>
      <c r="L512" s="10" t="s">
        <v>3350</v>
      </c>
      <c r="M512" s="10" t="s">
        <v>424</v>
      </c>
      <c r="N512" s="10" t="s">
        <v>3351</v>
      </c>
    </row>
    <row r="513" customFormat="false" ht="15" hidden="false" customHeight="false" outlineLevel="0" collapsed="false">
      <c r="A513" s="10" t="n">
        <v>509</v>
      </c>
      <c r="B513" s="10" t="s">
        <v>3352</v>
      </c>
      <c r="C513" s="10" t="s">
        <v>3353</v>
      </c>
      <c r="D513" s="10" t="s">
        <v>3354</v>
      </c>
      <c r="E513" s="10" t="s">
        <v>3355</v>
      </c>
      <c r="F513" s="10" t="s">
        <v>2230</v>
      </c>
      <c r="G513" s="10" t="s">
        <v>2254</v>
      </c>
      <c r="H513" s="10" t="s">
        <v>3235</v>
      </c>
      <c r="I513" s="10" t="s">
        <v>157</v>
      </c>
      <c r="J513" s="10" t="s">
        <v>231</v>
      </c>
      <c r="K513" s="10" t="s">
        <v>3356</v>
      </c>
      <c r="L513" s="10" t="s">
        <v>3357</v>
      </c>
      <c r="M513" s="10" t="s">
        <v>424</v>
      </c>
      <c r="N513" s="10" t="s">
        <v>3358</v>
      </c>
    </row>
    <row r="514" customFormat="false" ht="15" hidden="false" customHeight="false" outlineLevel="0" collapsed="false">
      <c r="A514" s="10" t="n">
        <v>510</v>
      </c>
      <c r="B514" s="10" t="s">
        <v>3359</v>
      </c>
      <c r="C514" s="10" t="s">
        <v>2455</v>
      </c>
      <c r="D514" s="10" t="s">
        <v>3360</v>
      </c>
      <c r="E514" s="10" t="s">
        <v>3361</v>
      </c>
      <c r="F514" s="10" t="s">
        <v>2230</v>
      </c>
      <c r="G514" s="10" t="s">
        <v>2945</v>
      </c>
      <c r="H514" s="10" t="s">
        <v>3362</v>
      </c>
      <c r="I514" s="10" t="s">
        <v>421</v>
      </c>
      <c r="J514" s="10" t="s">
        <v>231</v>
      </c>
      <c r="K514" s="10" t="s">
        <v>3363</v>
      </c>
      <c r="L514" s="10" t="s">
        <v>3364</v>
      </c>
      <c r="M514" s="10" t="s">
        <v>424</v>
      </c>
      <c r="N514" s="10"/>
    </row>
    <row r="515" customFormat="false" ht="15" hidden="false" customHeight="false" outlineLevel="0" collapsed="false">
      <c r="A515" s="10" t="n">
        <v>511</v>
      </c>
      <c r="B515" s="10" t="s">
        <v>3365</v>
      </c>
      <c r="C515" s="10" t="s">
        <v>2447</v>
      </c>
      <c r="D515" s="10" t="s">
        <v>3366</v>
      </c>
      <c r="E515" s="10" t="s">
        <v>3367</v>
      </c>
      <c r="F515" s="10" t="s">
        <v>2230</v>
      </c>
      <c r="G515" s="10" t="s">
        <v>2254</v>
      </c>
      <c r="H515" s="10" t="s">
        <v>3235</v>
      </c>
      <c r="I515" s="10" t="s">
        <v>157</v>
      </c>
      <c r="J515" s="10" t="s">
        <v>231</v>
      </c>
      <c r="K515" s="10" t="s">
        <v>3368</v>
      </c>
      <c r="L515" s="10" t="s">
        <v>3369</v>
      </c>
      <c r="M515" s="10" t="s">
        <v>424</v>
      </c>
      <c r="N515" s="10" t="s">
        <v>3370</v>
      </c>
    </row>
    <row r="516" customFormat="false" ht="15" hidden="false" customHeight="false" outlineLevel="0" collapsed="false">
      <c r="A516" s="10" t="n">
        <v>512</v>
      </c>
      <c r="B516" s="10" t="s">
        <v>3371</v>
      </c>
      <c r="C516" s="10" t="s">
        <v>3372</v>
      </c>
      <c r="D516" s="10" t="s">
        <v>3373</v>
      </c>
      <c r="E516" s="10" t="s">
        <v>3374</v>
      </c>
      <c r="F516" s="10" t="s">
        <v>2230</v>
      </c>
      <c r="G516" s="10" t="s">
        <v>2254</v>
      </c>
      <c r="H516" s="10" t="s">
        <v>3235</v>
      </c>
      <c r="I516" s="10" t="s">
        <v>157</v>
      </c>
      <c r="J516" s="10" t="s">
        <v>231</v>
      </c>
      <c r="K516" s="10" t="s">
        <v>3375</v>
      </c>
      <c r="L516" s="10" t="s">
        <v>3376</v>
      </c>
      <c r="M516" s="10" t="s">
        <v>424</v>
      </c>
      <c r="N516" s="10" t="s">
        <v>3377</v>
      </c>
    </row>
    <row r="517" customFormat="false" ht="15" hidden="false" customHeight="false" outlineLevel="0" collapsed="false">
      <c r="A517" s="10" t="n">
        <v>513</v>
      </c>
      <c r="B517" s="10" t="s">
        <v>3378</v>
      </c>
      <c r="C517" s="10" t="s">
        <v>3379</v>
      </c>
      <c r="D517" s="10" t="s">
        <v>3380</v>
      </c>
      <c r="E517" s="10" t="s">
        <v>3381</v>
      </c>
      <c r="F517" s="10" t="s">
        <v>2230</v>
      </c>
      <c r="G517" s="10" t="s">
        <v>2254</v>
      </c>
      <c r="H517" s="10" t="s">
        <v>3235</v>
      </c>
      <c r="I517" s="10" t="s">
        <v>157</v>
      </c>
      <c r="J517" s="10" t="s">
        <v>231</v>
      </c>
      <c r="K517" s="10" t="s">
        <v>3382</v>
      </c>
      <c r="L517" s="10" t="s">
        <v>3383</v>
      </c>
      <c r="M517" s="10" t="s">
        <v>424</v>
      </c>
      <c r="N517" s="10" t="s">
        <v>3384</v>
      </c>
    </row>
    <row r="518" customFormat="false" ht="15" hidden="false" customHeight="false" outlineLevel="0" collapsed="false">
      <c r="A518" s="10" t="n">
        <v>514</v>
      </c>
      <c r="B518" s="10" t="s">
        <v>3385</v>
      </c>
      <c r="C518" s="10" t="s">
        <v>3386</v>
      </c>
      <c r="D518" s="10" t="s">
        <v>3387</v>
      </c>
      <c r="E518" s="10" t="s">
        <v>3388</v>
      </c>
      <c r="F518" s="10" t="s">
        <v>2230</v>
      </c>
      <c r="G518" s="10" t="s">
        <v>2254</v>
      </c>
      <c r="H518" s="10" t="s">
        <v>3235</v>
      </c>
      <c r="I518" s="10" t="s">
        <v>157</v>
      </c>
      <c r="J518" s="10" t="s">
        <v>231</v>
      </c>
      <c r="K518" s="10" t="s">
        <v>3389</v>
      </c>
      <c r="L518" s="10" t="s">
        <v>3390</v>
      </c>
      <c r="M518" s="10" t="s">
        <v>424</v>
      </c>
      <c r="N518" s="10" t="s">
        <v>3391</v>
      </c>
    </row>
    <row r="519" customFormat="false" ht="15" hidden="false" customHeight="false" outlineLevel="0" collapsed="false">
      <c r="A519" s="10" t="n">
        <v>515</v>
      </c>
      <c r="B519" s="10" t="s">
        <v>3392</v>
      </c>
      <c r="C519" s="10" t="s">
        <v>3393</v>
      </c>
      <c r="D519" s="10" t="s">
        <v>3394</v>
      </c>
      <c r="E519" s="10" t="s">
        <v>3395</v>
      </c>
      <c r="F519" s="10" t="s">
        <v>2230</v>
      </c>
      <c r="G519" s="10" t="s">
        <v>3396</v>
      </c>
      <c r="H519" s="10" t="s">
        <v>3397</v>
      </c>
      <c r="I519" s="10" t="s">
        <v>421</v>
      </c>
      <c r="J519" s="10" t="s">
        <v>231</v>
      </c>
      <c r="K519" s="10" t="s">
        <v>3398</v>
      </c>
      <c r="L519" s="10" t="s">
        <v>3399</v>
      </c>
      <c r="M519" s="10" t="s">
        <v>424</v>
      </c>
      <c r="N519" s="10"/>
    </row>
    <row r="520" customFormat="false" ht="15" hidden="false" customHeight="false" outlineLevel="0" collapsed="false">
      <c r="A520" s="10" t="n">
        <v>516</v>
      </c>
      <c r="B520" s="10" t="s">
        <v>3400</v>
      </c>
      <c r="C520" s="10" t="s">
        <v>3401</v>
      </c>
      <c r="D520" s="10" t="s">
        <v>3402</v>
      </c>
      <c r="E520" s="10" t="s">
        <v>3403</v>
      </c>
      <c r="F520" s="10" t="s">
        <v>2230</v>
      </c>
      <c r="G520" s="10" t="s">
        <v>2254</v>
      </c>
      <c r="H520" s="10" t="s">
        <v>3235</v>
      </c>
      <c r="I520" s="10" t="s">
        <v>157</v>
      </c>
      <c r="J520" s="10" t="s">
        <v>231</v>
      </c>
      <c r="K520" s="10" t="s">
        <v>3404</v>
      </c>
      <c r="L520" s="10" t="s">
        <v>3405</v>
      </c>
      <c r="M520" s="10" t="s">
        <v>424</v>
      </c>
      <c r="N520" s="10" t="s">
        <v>3406</v>
      </c>
    </row>
    <row r="521" customFormat="false" ht="15" hidden="false" customHeight="false" outlineLevel="0" collapsed="false">
      <c r="A521" s="10" t="n">
        <v>517</v>
      </c>
      <c r="B521" s="10" t="s">
        <v>3407</v>
      </c>
      <c r="C521" s="10" t="s">
        <v>3408</v>
      </c>
      <c r="D521" s="10" t="s">
        <v>3409</v>
      </c>
      <c r="E521" s="10" t="s">
        <v>3395</v>
      </c>
      <c r="F521" s="10" t="s">
        <v>2230</v>
      </c>
      <c r="G521" s="10" t="s">
        <v>2254</v>
      </c>
      <c r="H521" s="10" t="s">
        <v>3235</v>
      </c>
      <c r="I521" s="10" t="s">
        <v>157</v>
      </c>
      <c r="J521" s="10" t="s">
        <v>231</v>
      </c>
      <c r="K521" s="10" t="s">
        <v>3410</v>
      </c>
      <c r="L521" s="10" t="s">
        <v>3411</v>
      </c>
      <c r="M521" s="10" t="s">
        <v>424</v>
      </c>
      <c r="N521" s="10" t="s">
        <v>3412</v>
      </c>
    </row>
    <row r="522" customFormat="false" ht="15" hidden="false" customHeight="false" outlineLevel="0" collapsed="false">
      <c r="A522" s="10" t="n">
        <v>518</v>
      </c>
      <c r="B522" s="10" t="s">
        <v>3413</v>
      </c>
      <c r="C522" s="10" t="s">
        <v>3414</v>
      </c>
      <c r="D522" s="10" t="s">
        <v>3415</v>
      </c>
      <c r="E522" s="10" t="s">
        <v>3416</v>
      </c>
      <c r="F522" s="10" t="s">
        <v>2230</v>
      </c>
      <c r="G522" s="10" t="s">
        <v>2254</v>
      </c>
      <c r="H522" s="10" t="s">
        <v>3235</v>
      </c>
      <c r="I522" s="10" t="s">
        <v>157</v>
      </c>
      <c r="J522" s="10" t="s">
        <v>231</v>
      </c>
      <c r="K522" s="10" t="s">
        <v>3417</v>
      </c>
      <c r="L522" s="10" t="s">
        <v>3418</v>
      </c>
      <c r="M522" s="10" t="s">
        <v>424</v>
      </c>
      <c r="N522" s="10" t="s">
        <v>3419</v>
      </c>
    </row>
    <row r="523" customFormat="false" ht="15" hidden="false" customHeight="false" outlineLevel="0" collapsed="false">
      <c r="A523" s="10" t="n">
        <v>519</v>
      </c>
      <c r="B523" s="10" t="s">
        <v>3420</v>
      </c>
      <c r="C523" s="10" t="s">
        <v>3421</v>
      </c>
      <c r="D523" s="10" t="s">
        <v>3422</v>
      </c>
      <c r="E523" s="10" t="s">
        <v>3423</v>
      </c>
      <c r="F523" s="10" t="s">
        <v>2230</v>
      </c>
      <c r="G523" s="10" t="s">
        <v>2254</v>
      </c>
      <c r="H523" s="10" t="s">
        <v>3235</v>
      </c>
      <c r="I523" s="10" t="s">
        <v>157</v>
      </c>
      <c r="J523" s="10" t="s">
        <v>231</v>
      </c>
      <c r="K523" s="10" t="s">
        <v>3424</v>
      </c>
      <c r="L523" s="10" t="s">
        <v>3425</v>
      </c>
      <c r="M523" s="10" t="s">
        <v>424</v>
      </c>
      <c r="N523" s="10" t="s">
        <v>3426</v>
      </c>
    </row>
  </sheetData>
  <mergeCells count="2">
    <mergeCell ref="A1:N1"/>
    <mergeCell ref="A2:N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12"/>
    <col collapsed="false" customWidth="true" hidden="false" outlineLevel="0" max="3" min="3" style="1" width="40"/>
  </cols>
  <sheetData>
    <row r="1" customFormat="false" ht="31.5" hidden="false" customHeight="true" outlineLevel="0" collapsed="false">
      <c r="A1" s="11" t="s">
        <v>3427</v>
      </c>
      <c r="B1" s="11"/>
      <c r="C1" s="11"/>
      <c r="D1" s="11"/>
      <c r="E1" s="11"/>
      <c r="F1" s="11"/>
    </row>
    <row r="3" customFormat="false" ht="15" hidden="false" customHeight="true" outlineLevel="0" collapsed="false">
      <c r="A3" s="12" t="s">
        <v>3428</v>
      </c>
      <c r="B3" s="12" t="s">
        <v>3429</v>
      </c>
      <c r="C3" s="12" t="s">
        <v>3430</v>
      </c>
    </row>
    <row r="4" customFormat="false" ht="21.75" hidden="false" customHeight="true" outlineLevel="0" collapsed="false">
      <c r="A4" s="13" t="s">
        <v>3431</v>
      </c>
      <c r="B4" s="14" t="n">
        <f aca="false">COUNTA('Podcast Outreach Log'!B5:B1000)-1</f>
        <v>518</v>
      </c>
      <c r="C4" s="15" t="s">
        <v>3432</v>
      </c>
    </row>
    <row r="5" customFormat="false" ht="21.75" hidden="false" customHeight="true" outlineLevel="0" collapsed="false">
      <c r="A5" s="13" t="s">
        <v>3433</v>
      </c>
      <c r="B5" s="14" t="n">
        <f aca="false">COUNTIF('Podcast Outreach Log'!M5:M1000,"Pitched")</f>
        <v>48</v>
      </c>
      <c r="C5" s="15"/>
    </row>
    <row r="6" customFormat="false" ht="21.75" hidden="false" customHeight="true" outlineLevel="0" collapsed="false">
      <c r="A6" s="13" t="s">
        <v>3434</v>
      </c>
      <c r="B6" s="14" t="n">
        <f aca="false">COUNTIF('Podcast Outreach Log'!M5:M1000,"Pending")</f>
        <v>0</v>
      </c>
      <c r="C6" s="15"/>
    </row>
    <row r="7" customFormat="false" ht="21.75" hidden="false" customHeight="true" outlineLevel="0" collapsed="false">
      <c r="A7" s="13" t="s">
        <v>3435</v>
      </c>
      <c r="B7" s="14" t="n">
        <f aca="false">COUNTIF('Podcast Outreach Log'!M5:M1000,"POSITIVE - FLAG")</f>
        <v>0</v>
      </c>
      <c r="C7" s="15" t="s">
        <v>3436</v>
      </c>
    </row>
    <row r="8" customFormat="false" ht="21.75" hidden="false" customHeight="true" outlineLevel="0" collapsed="false">
      <c r="A8" s="13" t="s">
        <v>3437</v>
      </c>
      <c r="B8" s="14" t="n">
        <f aca="false">COUNTIF('Podcast Outreach Log'!M5:M1000,"Follow-up Due")</f>
        <v>0</v>
      </c>
      <c r="C8" s="15"/>
    </row>
    <row r="9" customFormat="false" ht="21.75" hidden="false" customHeight="true" outlineLevel="0" collapsed="false">
      <c r="A9" s="13" t="s">
        <v>3438</v>
      </c>
      <c r="B9" s="14" t="n">
        <f aca="false">COUNTIF('Podcast Outreach Log'!M5:M1000,"Closed")</f>
        <v>0</v>
      </c>
      <c r="C9" s="15"/>
    </row>
    <row r="10" customFormat="false" ht="21.75" hidden="false" customHeight="true" outlineLevel="0" collapsed="false">
      <c r="A10" s="13" t="s">
        <v>3439</v>
      </c>
      <c r="B10" s="14" t="n">
        <f aca="false">COUNTIF('Podcast Outreach Log'!M5:M1000,"No Contact")</f>
        <v>0</v>
      </c>
      <c r="C10" s="15"/>
    </row>
    <row r="11" customFormat="false" ht="21.75" hidden="false" customHeight="true" outlineLevel="0" collapsed="false">
      <c r="A11" s="13" t="s">
        <v>3440</v>
      </c>
      <c r="B11" s="14" t="n">
        <f aca="false">COUNTIF('Podcast Outreach Log'!M5:M1000,"Bounced")</f>
        <v>7</v>
      </c>
      <c r="C11" s="15"/>
    </row>
    <row r="13" customFormat="false" ht="15" hidden="false" customHeight="true" outlineLevel="0" collapsed="false">
      <c r="A13" s="16" t="s">
        <v>3441</v>
      </c>
      <c r="B13" s="16"/>
      <c r="C13" s="16"/>
    </row>
    <row r="14" customFormat="false" ht="19.5" hidden="false" customHeight="true" outlineLevel="0" collapsed="false">
      <c r="A14" s="17" t="s">
        <v>77</v>
      </c>
      <c r="B14" s="14" t="n">
        <f aca="false">COUNTIF('Podcast Outreach Log'!D5:D1000,A14)</f>
        <v>10</v>
      </c>
    </row>
    <row r="15" customFormat="false" ht="19.5" hidden="false" customHeight="true" outlineLevel="0" collapsed="false">
      <c r="A15" s="17" t="s">
        <v>18</v>
      </c>
      <c r="B15" s="14" t="n">
        <f aca="false">COUNTIF('Podcast Outreach Log'!D5:D1000,A15)</f>
        <v>24</v>
      </c>
    </row>
    <row r="16" customFormat="false" ht="19.5" hidden="false" customHeight="true" outlineLevel="0" collapsed="false">
      <c r="A16" s="17" t="s">
        <v>60</v>
      </c>
      <c r="B16" s="14" t="n">
        <f aca="false">COUNTIF('Podcast Outreach Log'!D5:D1000,A16)</f>
        <v>24</v>
      </c>
    </row>
    <row r="17" customFormat="false" ht="19.5" hidden="false" customHeight="true" outlineLevel="0" collapsed="false">
      <c r="A17" s="17" t="s">
        <v>49</v>
      </c>
      <c r="B17" s="14" t="n">
        <f aca="false">COUNTIF('Podcast Outreach Log'!D5:D1000,A17)</f>
        <v>19</v>
      </c>
    </row>
    <row r="18" customFormat="false" ht="19.5" hidden="false" customHeight="true" outlineLevel="0" collapsed="false">
      <c r="A18" s="17" t="s">
        <v>291</v>
      </c>
      <c r="B18" s="14" t="n">
        <f aca="false">COUNTIF('Podcast Outreach Log'!D5:D1000,A18)</f>
        <v>27</v>
      </c>
    </row>
    <row r="19" customFormat="false" ht="19.5" hidden="false" customHeight="true" outlineLevel="0" collapsed="false">
      <c r="A19" s="17" t="s">
        <v>68</v>
      </c>
      <c r="B19" s="14" t="n">
        <f aca="false">COUNTIF('Podcast Outreach Log'!D5:D1000,A19)</f>
        <v>16</v>
      </c>
    </row>
    <row r="20" customFormat="false" ht="19.5" hidden="false" customHeight="true" outlineLevel="0" collapsed="false">
      <c r="A20" s="17" t="s">
        <v>41</v>
      </c>
      <c r="B20" s="14" t="n">
        <f aca="false">COUNTIF('Podcast Outreach Log'!D5:D1000,A20)</f>
        <v>14</v>
      </c>
    </row>
  </sheetData>
  <mergeCells count="2">
    <mergeCell ref="A1:F1"/>
    <mergeCell ref="A13:C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5"/>
    <col collapsed="false" customWidth="true" hidden="false" outlineLevel="0" max="2" min="2" style="1" width="90"/>
  </cols>
  <sheetData>
    <row r="1" customFormat="false" ht="30" hidden="false" customHeight="true" outlineLevel="0" collapsed="false">
      <c r="A1" s="18" t="s">
        <v>3442</v>
      </c>
      <c r="B1" s="18"/>
    </row>
    <row r="3" customFormat="false" ht="48" hidden="false" customHeight="true" outlineLevel="0" collapsed="false">
      <c r="A3" s="19" t="s">
        <v>3443</v>
      </c>
      <c r="B3" s="5" t="s">
        <v>3444</v>
      </c>
    </row>
    <row r="4" customFormat="false" ht="48" hidden="false" customHeight="true" outlineLevel="0" collapsed="false">
      <c r="A4" s="19" t="s">
        <v>3445</v>
      </c>
      <c r="B4" s="5" t="s">
        <v>3446</v>
      </c>
    </row>
    <row r="5" customFormat="false" ht="48" hidden="false" customHeight="true" outlineLevel="0" collapsed="false">
      <c r="A5" s="19" t="s">
        <v>3447</v>
      </c>
      <c r="B5" s="5" t="s">
        <v>3448</v>
      </c>
    </row>
    <row r="6" customFormat="false" ht="48" hidden="false" customHeight="true" outlineLevel="0" collapsed="false">
      <c r="A6" s="19" t="s">
        <v>3449</v>
      </c>
      <c r="B6" s="5" t="s">
        <v>3450</v>
      </c>
    </row>
    <row r="7" customFormat="false" ht="48" hidden="false" customHeight="true" outlineLevel="0" collapsed="false">
      <c r="A7" s="19" t="s">
        <v>3451</v>
      </c>
      <c r="B7" s="5" t="s">
        <v>3452</v>
      </c>
    </row>
    <row r="8" customFormat="false" ht="48" hidden="false" customHeight="true" outlineLevel="0" collapsed="false">
      <c r="A8" s="19" t="s">
        <v>3453</v>
      </c>
      <c r="B8" s="5" t="s">
        <v>3454</v>
      </c>
    </row>
    <row r="9" customFormat="false" ht="48" hidden="false" customHeight="true" outlineLevel="0" collapsed="false">
      <c r="A9" s="19" t="s">
        <v>3455</v>
      </c>
      <c r="B9" s="5" t="s">
        <v>3456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20"/>
    <col collapsed="false" customWidth="true" hidden="false" outlineLevel="0" max="3" min="3" style="1" width="14"/>
    <col collapsed="false" customWidth="true" hidden="false" outlineLevel="0" max="4" min="4" style="1" width="18"/>
    <col collapsed="false" customWidth="true" hidden="false" outlineLevel="0" max="5" min="5" style="1" width="30"/>
    <col collapsed="false" customWidth="true" hidden="false" outlineLevel="0" max="6" min="6" style="1" width="10"/>
    <col collapsed="false" customWidth="true" hidden="false" outlineLevel="0" max="7" min="7" style="1" width="30"/>
  </cols>
  <sheetData>
    <row r="1" customFormat="false" ht="30" hidden="false" customHeight="true" outlineLevel="0" collapsed="false">
      <c r="A1" s="18" t="s">
        <v>3457</v>
      </c>
      <c r="B1" s="18"/>
      <c r="C1" s="18"/>
      <c r="D1" s="18"/>
      <c r="E1" s="18"/>
      <c r="F1" s="18"/>
      <c r="G1" s="18"/>
    </row>
    <row r="3" customFormat="false" ht="25.5" hidden="false" customHeight="true" outlineLevel="0" collapsed="false">
      <c r="A3" s="20" t="s">
        <v>3</v>
      </c>
      <c r="B3" s="20" t="s">
        <v>3458</v>
      </c>
      <c r="C3" s="20" t="s">
        <v>11</v>
      </c>
      <c r="D3" s="20" t="s">
        <v>3459</v>
      </c>
      <c r="E3" s="20" t="s">
        <v>3460</v>
      </c>
      <c r="F3" s="20" t="s">
        <v>3461</v>
      </c>
      <c r="G3" s="20" t="s">
        <v>3430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30"/>
    <col collapsed="false" customWidth="true" hidden="false" outlineLevel="0" max="3" min="3" style="1" width="18"/>
    <col collapsed="false" customWidth="true" hidden="false" outlineLevel="0" max="4" min="4" style="1" width="22"/>
    <col collapsed="false" customWidth="true" hidden="false" outlineLevel="0" max="5" min="5" style="1" width="14"/>
    <col collapsed="false" customWidth="true" hidden="false" outlineLevel="0" max="6" min="6" style="1" width="16"/>
    <col collapsed="false" customWidth="true" hidden="false" outlineLevel="0" max="7" min="7" style="1" width="35"/>
    <col collapsed="false" customWidth="true" hidden="false" outlineLevel="0" max="8" min="8" style="1" width="45"/>
    <col collapsed="false" customWidth="true" hidden="false" outlineLevel="0" max="9" min="9" style="1" width="14"/>
    <col collapsed="false" customWidth="true" hidden="false" outlineLevel="0" max="10" min="10" style="1" width="40"/>
  </cols>
  <sheetData>
    <row r="1" customFormat="false" ht="31.5" hidden="false" customHeight="true" outlineLevel="0" collapsed="false">
      <c r="A1" s="11" t="s">
        <v>3462</v>
      </c>
      <c r="B1" s="11"/>
      <c r="C1" s="11"/>
      <c r="D1" s="11"/>
      <c r="E1" s="11"/>
      <c r="F1" s="11"/>
      <c r="G1" s="11"/>
      <c r="H1" s="11"/>
      <c r="I1" s="11"/>
      <c r="J1" s="11"/>
    </row>
    <row r="2" customFormat="false" ht="19.5" hidden="false" customHeight="true" outlineLevel="0" collapsed="false">
      <c r="A2" s="21" t="s">
        <v>3463</v>
      </c>
      <c r="B2" s="21"/>
      <c r="C2" s="21"/>
      <c r="D2" s="21"/>
      <c r="E2" s="21"/>
      <c r="F2" s="21"/>
      <c r="G2" s="21"/>
      <c r="H2" s="21"/>
      <c r="I2" s="21"/>
      <c r="J2" s="21"/>
    </row>
    <row r="4" customFormat="false" ht="27.75" hidden="false" customHeight="true" outlineLevel="0" collapsed="false">
      <c r="A4" s="4" t="s">
        <v>2</v>
      </c>
      <c r="B4" s="4" t="s">
        <v>3464</v>
      </c>
      <c r="C4" s="4" t="s">
        <v>3465</v>
      </c>
      <c r="D4" s="4" t="s">
        <v>5</v>
      </c>
      <c r="E4" s="4" t="s">
        <v>3466</v>
      </c>
      <c r="F4" s="4" t="s">
        <v>3467</v>
      </c>
      <c r="G4" s="4" t="s">
        <v>3468</v>
      </c>
      <c r="H4" s="4" t="s">
        <v>3469</v>
      </c>
      <c r="I4" s="4" t="s">
        <v>14</v>
      </c>
      <c r="J4" s="4" t="s">
        <v>3430</v>
      </c>
    </row>
    <row r="5" customFormat="false" ht="60" hidden="false" customHeight="true" outlineLevel="0" collapsed="false">
      <c r="A5" s="5" t="n">
        <v>1</v>
      </c>
      <c r="B5" s="5" t="s">
        <v>3470</v>
      </c>
      <c r="C5" s="5" t="s">
        <v>3471</v>
      </c>
      <c r="D5" s="5" t="s">
        <v>3472</v>
      </c>
      <c r="E5" s="5" t="s">
        <v>3473</v>
      </c>
      <c r="F5" s="5" t="s">
        <v>3460</v>
      </c>
      <c r="G5" s="5" t="s">
        <v>721</v>
      </c>
      <c r="H5" s="5" t="s">
        <v>3474</v>
      </c>
      <c r="I5" s="7" t="s">
        <v>3475</v>
      </c>
      <c r="J5" s="5" t="s">
        <v>3476</v>
      </c>
    </row>
    <row r="6" customFormat="false" ht="60" hidden="false" customHeight="true" outlineLevel="0" collapsed="false">
      <c r="A6" s="5" t="n">
        <v>2</v>
      </c>
      <c r="B6" s="5" t="s">
        <v>3477</v>
      </c>
      <c r="C6" s="5" t="s">
        <v>3471</v>
      </c>
      <c r="D6" s="5" t="s">
        <v>3472</v>
      </c>
      <c r="E6" s="5" t="s">
        <v>3478</v>
      </c>
      <c r="F6" s="5" t="s">
        <v>3479</v>
      </c>
      <c r="G6" s="5" t="s">
        <v>3480</v>
      </c>
      <c r="H6" s="5" t="s">
        <v>3481</v>
      </c>
      <c r="I6" s="7" t="s">
        <v>3475</v>
      </c>
      <c r="J6" s="5" t="s">
        <v>3482</v>
      </c>
    </row>
    <row r="7" customFormat="false" ht="60" hidden="false" customHeight="true" outlineLevel="0" collapsed="false">
      <c r="A7" s="5" t="n">
        <v>3</v>
      </c>
      <c r="B7" s="5" t="s">
        <v>3483</v>
      </c>
      <c r="C7" s="5" t="s">
        <v>3484</v>
      </c>
      <c r="D7" s="5" t="s">
        <v>3485</v>
      </c>
      <c r="E7" s="5" t="s">
        <v>3486</v>
      </c>
      <c r="F7" s="5" t="s">
        <v>3487</v>
      </c>
      <c r="G7" s="5" t="s">
        <v>3488</v>
      </c>
      <c r="H7" s="5" t="s">
        <v>3489</v>
      </c>
      <c r="I7" s="7" t="s">
        <v>3475</v>
      </c>
      <c r="J7" s="5" t="s">
        <v>3490</v>
      </c>
    </row>
    <row r="8" customFormat="false" ht="60" hidden="false" customHeight="true" outlineLevel="0" collapsed="false">
      <c r="A8" s="5" t="n">
        <v>4</v>
      </c>
      <c r="B8" s="5" t="s">
        <v>3491</v>
      </c>
      <c r="C8" s="5" t="s">
        <v>3484</v>
      </c>
      <c r="D8" s="5" t="s">
        <v>3485</v>
      </c>
      <c r="E8" s="5" t="s">
        <v>3492</v>
      </c>
      <c r="F8" s="5" t="s">
        <v>3493</v>
      </c>
      <c r="G8" s="5" t="s">
        <v>3494</v>
      </c>
      <c r="H8" s="5" t="s">
        <v>3495</v>
      </c>
      <c r="I8" s="7" t="s">
        <v>3475</v>
      </c>
      <c r="J8" s="5" t="s">
        <v>3496</v>
      </c>
    </row>
    <row r="9" customFormat="false" ht="60" hidden="false" customHeight="true" outlineLevel="0" collapsed="false">
      <c r="A9" s="5" t="n">
        <v>5</v>
      </c>
      <c r="B9" s="5" t="s">
        <v>3497</v>
      </c>
      <c r="C9" s="5" t="s">
        <v>3484</v>
      </c>
      <c r="D9" s="5" t="s">
        <v>3485</v>
      </c>
      <c r="E9" s="5" t="s">
        <v>3498</v>
      </c>
      <c r="F9" s="5" t="s">
        <v>3499</v>
      </c>
      <c r="G9" s="5" t="s">
        <v>3500</v>
      </c>
      <c r="H9" s="5" t="s">
        <v>3501</v>
      </c>
      <c r="I9" s="7" t="s">
        <v>3475</v>
      </c>
      <c r="J9" s="5" t="s">
        <v>3502</v>
      </c>
    </row>
    <row r="10" customFormat="false" ht="60" hidden="false" customHeight="true" outlineLevel="0" collapsed="false">
      <c r="A10" s="5" t="n">
        <v>6</v>
      </c>
      <c r="B10" s="5" t="s">
        <v>3503</v>
      </c>
      <c r="C10" s="5" t="s">
        <v>3484</v>
      </c>
      <c r="D10" s="5" t="s">
        <v>3504</v>
      </c>
      <c r="E10" s="5" t="s">
        <v>3505</v>
      </c>
      <c r="F10" s="5" t="s">
        <v>3506</v>
      </c>
      <c r="G10" s="5" t="s">
        <v>3507</v>
      </c>
      <c r="H10" s="5" t="s">
        <v>3508</v>
      </c>
      <c r="I10" s="7" t="s">
        <v>3475</v>
      </c>
      <c r="J10" s="5" t="s">
        <v>3509</v>
      </c>
    </row>
    <row r="11" customFormat="false" ht="60" hidden="false" customHeight="true" outlineLevel="0" collapsed="false">
      <c r="A11" s="5" t="n">
        <v>7</v>
      </c>
      <c r="B11" s="5" t="s">
        <v>3510</v>
      </c>
      <c r="C11" s="5" t="s">
        <v>3484</v>
      </c>
      <c r="D11" s="5" t="s">
        <v>3504</v>
      </c>
      <c r="E11" s="5" t="s">
        <v>3511</v>
      </c>
      <c r="F11" s="5" t="s">
        <v>3512</v>
      </c>
      <c r="G11" s="5" t="s">
        <v>3500</v>
      </c>
      <c r="H11" s="5" t="s">
        <v>3513</v>
      </c>
      <c r="I11" s="7" t="s">
        <v>3475</v>
      </c>
      <c r="J11" s="5" t="s">
        <v>3514</v>
      </c>
    </row>
    <row r="12" customFormat="false" ht="60" hidden="false" customHeight="true" outlineLevel="0" collapsed="false">
      <c r="A12" s="5" t="n">
        <v>8</v>
      </c>
      <c r="B12" s="5" t="s">
        <v>3515</v>
      </c>
      <c r="C12" s="5" t="s">
        <v>3484</v>
      </c>
      <c r="D12" s="5" t="s">
        <v>3516</v>
      </c>
      <c r="E12" s="5" t="s">
        <v>3517</v>
      </c>
      <c r="F12" s="5" t="s">
        <v>3518</v>
      </c>
      <c r="G12" s="5" t="s">
        <v>3519</v>
      </c>
      <c r="H12" s="5" t="s">
        <v>3520</v>
      </c>
      <c r="I12" s="7" t="s">
        <v>3475</v>
      </c>
      <c r="J12" s="5" t="s">
        <v>3521</v>
      </c>
    </row>
    <row r="13" customFormat="false" ht="60" hidden="false" customHeight="true" outlineLevel="0" collapsed="false">
      <c r="A13" s="5" t="n">
        <v>9</v>
      </c>
      <c r="B13" s="5" t="s">
        <v>3522</v>
      </c>
      <c r="C13" s="5" t="s">
        <v>3484</v>
      </c>
      <c r="D13" s="5" t="s">
        <v>3516</v>
      </c>
      <c r="E13" s="5" t="s">
        <v>3523</v>
      </c>
      <c r="F13" s="5" t="s">
        <v>3512</v>
      </c>
      <c r="G13" s="5" t="s">
        <v>3524</v>
      </c>
      <c r="H13" s="5" t="s">
        <v>3525</v>
      </c>
      <c r="I13" s="7" t="s">
        <v>3475</v>
      </c>
      <c r="J13" s="5" t="s">
        <v>3526</v>
      </c>
    </row>
    <row r="14" customFormat="false" ht="60" hidden="false" customHeight="true" outlineLevel="0" collapsed="false">
      <c r="A14" s="5" t="n">
        <v>10</v>
      </c>
      <c r="B14" s="5" t="s">
        <v>3527</v>
      </c>
      <c r="C14" s="5" t="s">
        <v>3528</v>
      </c>
      <c r="D14" s="5" t="s">
        <v>163</v>
      </c>
      <c r="E14" s="5" t="s">
        <v>3529</v>
      </c>
      <c r="F14" s="5" t="s">
        <v>3530</v>
      </c>
      <c r="G14" s="5" t="s">
        <v>3531</v>
      </c>
      <c r="H14" s="5" t="s">
        <v>3532</v>
      </c>
      <c r="I14" s="22" t="s">
        <v>3533</v>
      </c>
      <c r="J14" s="5" t="s">
        <v>3534</v>
      </c>
    </row>
    <row r="15" customFormat="false" ht="60" hidden="false" customHeight="true" outlineLevel="0" collapsed="false">
      <c r="A15" s="5" t="n">
        <v>11</v>
      </c>
      <c r="B15" s="5" t="s">
        <v>3535</v>
      </c>
      <c r="C15" s="5" t="s">
        <v>3536</v>
      </c>
      <c r="D15" s="5" t="s">
        <v>163</v>
      </c>
      <c r="E15" s="5" t="s">
        <v>3529</v>
      </c>
      <c r="F15" s="5" t="s">
        <v>3537</v>
      </c>
      <c r="G15" s="5" t="s">
        <v>3538</v>
      </c>
      <c r="H15" s="5" t="s">
        <v>3539</v>
      </c>
      <c r="I15" s="22" t="s">
        <v>3533</v>
      </c>
      <c r="J15" s="5" t="s">
        <v>3540</v>
      </c>
    </row>
    <row r="16" customFormat="false" ht="60" hidden="false" customHeight="true" outlineLevel="0" collapsed="false">
      <c r="A16" s="5" t="n">
        <v>12</v>
      </c>
      <c r="B16" s="5" t="s">
        <v>3541</v>
      </c>
      <c r="C16" s="5" t="s">
        <v>3471</v>
      </c>
      <c r="D16" s="5" t="s">
        <v>3542</v>
      </c>
      <c r="E16" s="5" t="s">
        <v>87</v>
      </c>
      <c r="F16" s="5" t="s">
        <v>3543</v>
      </c>
      <c r="G16" s="5" t="s">
        <v>3544</v>
      </c>
      <c r="H16" s="5" t="s">
        <v>3545</v>
      </c>
      <c r="I16" s="7" t="s">
        <v>3475</v>
      </c>
      <c r="J16" s="5" t="s">
        <v>3546</v>
      </c>
    </row>
    <row r="17" customFormat="false" ht="60" hidden="false" customHeight="true" outlineLevel="0" collapsed="false">
      <c r="A17" s="5" t="n">
        <v>13</v>
      </c>
      <c r="B17" s="5" t="s">
        <v>3547</v>
      </c>
      <c r="C17" s="5" t="s">
        <v>3484</v>
      </c>
      <c r="D17" s="5" t="s">
        <v>3472</v>
      </c>
      <c r="E17" s="5" t="s">
        <v>3548</v>
      </c>
      <c r="F17" s="5" t="s">
        <v>3549</v>
      </c>
      <c r="G17" s="5" t="s">
        <v>3550</v>
      </c>
      <c r="H17" s="5" t="s">
        <v>3551</v>
      </c>
      <c r="I17" s="7" t="s">
        <v>3475</v>
      </c>
      <c r="J17" s="5" t="s">
        <v>3552</v>
      </c>
    </row>
    <row r="18" customFormat="false" ht="60" hidden="false" customHeight="true" outlineLevel="0" collapsed="false">
      <c r="A18" s="5" t="n">
        <v>14</v>
      </c>
      <c r="B18" s="5" t="s">
        <v>3553</v>
      </c>
      <c r="C18" s="5" t="s">
        <v>3554</v>
      </c>
      <c r="D18" s="5" t="s">
        <v>3504</v>
      </c>
      <c r="E18" s="5" t="s">
        <v>87</v>
      </c>
      <c r="F18" s="5" t="s">
        <v>3555</v>
      </c>
      <c r="G18" s="5" t="s">
        <v>3556</v>
      </c>
      <c r="H18" s="5" t="s">
        <v>3557</v>
      </c>
      <c r="I18" s="22" t="s">
        <v>3533</v>
      </c>
      <c r="J18" s="5" t="s">
        <v>3558</v>
      </c>
    </row>
  </sheetData>
  <mergeCells count="2">
    <mergeCell ref="A1:J1"/>
    <mergeCell ref="A2:J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2026-04-03T22:38:23Z</dcterms:created>
  <dc:creator>openpyxl</dc:creator>
  <dc:description/>
  <dc:language>en-US</dc:language>
  <cp:lastModifiedBy/>
  <dcterms:modified xsi:type="dcterms:W3CDTF">2026-04-04T09:58:00Z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